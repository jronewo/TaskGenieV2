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640" windowHeight="14540"/>
  </bookViews>
  <sheets>
    <sheet name="Tổng quan" sheetId="1" r:id="rId1"/>
    <sheet name="API Catalog" sheetId="2" r:id="rId2"/>
    <sheet name="Test Results" sheetId="3" r:id="rId3"/>
    <sheet name="Defect Log" sheetId="4" r:id="rId4"/>
    <sheet name="Page Mapp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<sst xmlns="http://schemas.openxmlformats.org/spreadsheetml/2006/main" count="2752" uniqueCount="782">
  <si>
    <t>TASKGENIE API TEST REPORT
Inventory, full API smoke test, page mapping và defect summary — 2026-07-20</t>
  </si>
  <si>
    <t>TỔNG API</t>
  </si>
  <si>
    <t>PASS</t>
  </si>
  <si>
    <t>FAIL</t>
  </si>
  <si>
    <t>SUCCESS RATE</t>
  </si>
  <si>
    <t>QUALITY &amp; AUTOMATION</t>
  </si>
  <si>
    <t>Automated tests</t>
  </si>
  <si>
    <t>Passed</t>
  </si>
  <si>
    <t>Failed</t>
  </si>
  <si>
    <t>API smoke operations</t>
  </si>
  <si>
    <t>Swagger paths</t>
  </si>
  <si>
    <t>Operations executed</t>
  </si>
  <si>
    <t>Missing operations</t>
  </si>
  <si>
    <t>JWT revoked-token check</t>
  </si>
  <si>
    <t>Environment</t>
  </si>
  <si>
    <t>ASP.NET Development</t>
  </si>
  <si>
    <t>Database</t>
  </si>
  <si>
    <t>EF Core InMemory</t>
  </si>
  <si>
    <t>External AI</t>
  </si>
  <si>
    <t>Hugging Face real model</t>
  </si>
  <si>
    <t>Cloudinary</t>
  </si>
  <si>
    <t>Upload + cleanup verified</t>
  </si>
  <si>
    <t>METHOD</t>
  </si>
  <si>
    <t>SỐ API</t>
  </si>
  <si>
    <t>TỶ TRỌNG</t>
  </si>
  <si>
    <t>FINDING</t>
  </si>
  <si>
    <t>SEVERITY</t>
  </si>
  <si>
    <t>STATUS</t>
  </si>
  <si>
    <t>HÀNH ĐỘNG</t>
  </si>
  <si>
    <t>GET</t>
  </si>
  <si>
    <t>Google invalid-token trả đúng HTTP 401</t>
  </si>
  <si>
    <t>High</t>
  </si>
  <si>
    <t>Resolved</t>
  </si>
  <si>
    <t>Đã map UnauthorizedAccessException → 401</t>
  </si>
  <si>
    <t>POST</t>
  </si>
  <si>
    <t>Microsoft.OpenApi đã nâng lên 2.7.5</t>
  </si>
  <si>
    <t>Quét package vulnerable: không còn advisory</t>
  </si>
  <si>
    <t>PUT</t>
  </si>
  <si>
    <t>Logout revoke JWT; token cũ trả 401</t>
  </si>
  <si>
    <t>Verified</t>
  </si>
  <si>
    <t>Giữ regression test cho JTI revocation</t>
  </si>
  <si>
    <t>DELETE</t>
  </si>
  <si>
    <t>Cloudinary secret từng nằm trong Git history</t>
  </si>
  <si>
    <t>Open</t>
  </si>
  <si>
    <t>Rotate key và cân nhắc purge history trước production</t>
  </si>
  <si>
    <t>TEST SCOPE</t>
  </si>
  <si>
    <t>Nguồn inventory</t>
  </si>
  <si>
    <t>Swagger/OpenAPI runtime</t>
  </si>
  <si>
    <t>Operations</t>
  </si>
  <si>
    <t>Test data</t>
  </si>
  <si>
    <t>Seed + resources tạm</t>
  </si>
  <si>
    <t>External mutation</t>
  </si>
  <si>
    <t>Cloudinary assets đã cleanup</t>
  </si>
  <si>
    <t>Phạm vi</t>
  </si>
  <si>
    <t>Tất cả 109 operations</t>
  </si>
  <si>
    <t>Unit/integration</t>
  </si>
  <si>
    <t>59/59 pass</t>
  </si>
  <si>
    <t>AI</t>
  </si>
  <si>
    <t>Model thật, không fallback</t>
  </si>
  <si>
    <t>InMemory — không ảnh hưởng DB thật</t>
  </si>
  <si>
    <t>Kết luận</t>
  </si>
  <si>
    <t>109/109 API đạt tiêu chí; 108 happy-path 2xx + 1 negative Google token đúng 401; revoked JWT đúng 401</t>
  </si>
  <si>
    <t>TASKGENIE API CATALOG
Input, output, mục đích, vị trí frontend đề xuất và actual response đầy đủ cho 109 operations qua JWT</t>
  </si>
  <si>
    <t>STT</t>
  </si>
  <si>
    <t>Controller</t>
  </si>
  <si>
    <t>Method</t>
  </si>
  <si>
    <t>Endpoint</t>
  </si>
  <si>
    <t>Dùng để làm gì</t>
  </si>
  <si>
    <t>Nên ở trang nào</t>
  </si>
  <si>
    <t>Header / Auth</t>
  </si>
  <si>
    <t>Path Input</t>
  </si>
  <si>
    <t>Query Input</t>
  </si>
  <si>
    <t>Body Schema</t>
  </si>
  <si>
    <t>Input Example</t>
  </si>
  <si>
    <t>Expected Output</t>
  </si>
  <si>
    <t>Actual HTTP</t>
  </si>
  <si>
    <t>Actual Output</t>
  </si>
  <si>
    <t>Test Result</t>
  </si>
  <si>
    <t>Duration (ms)</t>
  </si>
  <si>
    <t>Notes</t>
  </si>
  <si>
    <t>ActivityLogs</t>
  </si>
  <si>
    <t>/api/ActivityLogs</t>
  </si>
  <si>
    <t>Lấy toàn bộ nhật ký hoạt động, có thể lọc theo query.</t>
  </si>
  <si>
    <t>Reports Dashboard / Activity Log / Audit Trail</t>
  </si>
  <si>
    <t>Authorization: Bearer &lt;JWT&gt;; Content-Type theo body</t>
  </si>
  <si>
    <t>Không có</t>
  </si>
  <si>
    <t>limit: integer(int32)</t>
  </si>
  <si>
    <t>Không có body</t>
  </si>
  <si>
    <t>Query: {"limit":1}</t>
  </si>
  <si>
    <t>200 JSON object/array theo nghiệp vụ.</t>
  </si>
  <si>
    <t>[{"logId":1,"userId":1,"userName":"Nguyen Van An","action":"TASK_CREATED","entityType":"TASK","entityId":14,"createdAt":"2026-07-20T06:59:29.834847Z"}]</t>
  </si>
  <si>
    <t>Smoke test dùng Bearer JWT trên database InMemory; không ảnh hưởng dữ liệu thật.</t>
  </si>
  <si>
    <t>/api/ActivityLogs/entity/{entityType}/{entityId}</t>
  </si>
  <si>
    <t>Truy vết lịch sử thay đổi của một thực thể.</t>
  </si>
  <si>
    <t>entityType: string (required); entityId: integer(int32) (required)</t>
  </si>
  <si>
    <t>Path: {"entityType":"Task","entityId":8}</t>
  </si>
  <si>
    <t>[]</t>
  </si>
  <si>
    <t>/api/ActivityLogs/project/{projectId}</t>
  </si>
  <si>
    <t>Lấy audit trail của một dự án.</t>
  </si>
  <si>
    <t>projectId: integer(int32) (required)</t>
  </si>
  <si>
    <t>Path: {"projectId":3}
Query: {"limit":1}</t>
  </si>
  <si>
    <t>/api/ActivityLogs/user/{userId}</t>
  </si>
  <si>
    <t>Lấy nhật ký hoạt động của một người dùng.</t>
  </si>
  <si>
    <t>userId: integer(int32) (required)</t>
  </si>
  <si>
    <t>Path: {"userId":1}</t>
  </si>
  <si>
    <t>Admin</t>
  </si>
  <si>
    <t>/api/Admin/platform-stats</t>
  </si>
  <si>
    <t>Lấy thống kê tổng quan nền tảng cho quản trị viên.</t>
  </si>
  <si>
    <t>Administration Center / Platform Overview</t>
  </si>
  <si>
    <t>Không có path/query/body; dùng Bearer JWT trừ endpoint AllowAnonymous.</t>
  </si>
  <si>
    <t>{"users":6,"organizations":1,"projects":3,"tasks":14,"tasksDone":5}</t>
  </si>
  <si>
    <t>AiAnalysis</t>
  </si>
  <si>
    <t>/api/ai-analysis/{taskId}</t>
  </si>
  <si>
    <t>Lấy kết quả phân tích AI gần nhất của task.</t>
  </si>
  <si>
    <t>Core AI Demo Panel / Task Detail / Project Dashboard</t>
  </si>
  <si>
    <t>taskId: integer(int32) (required)</t>
  </si>
  <si>
    <t>Path: {"taskId":8}</t>
  </si>
  <si>
    <t>Đã gọi Hugging Face model thật trong môi trường InMemory.</t>
  </si>
  <si>
    <t>/api/ai-analysis/{taskId}/classify</t>
  </si>
  <si>
    <t>Phân loại nội dung task bằng mô hình zero-shot.</t>
  </si>
  <si>
    <t>Task Detail → AI Analysis</t>
  </si>
  <si>
    <t>200 JSON kết quả nghiệp vụ.</t>
  </si>
  <si>
    <t>{"message":"Task classification and analysis completed successfully."}</t>
  </si>
  <si>
    <t>/api/ai-analysis/{taskId}/executions</t>
  </si>
  <si>
    <t>Lấy AI execution logs phục vụ audit và đánh giá model.</t>
  </si>
  <si>
    <t>Task Detail → AI History / Audit</t>
  </si>
  <si>
    <t>[{"runId":"a6d8e507-6a6d-4efa-b750-4eb22937214b","taskId":8,"feature":"ASSIGNMENT_RECOMMENDATION","provider":"RULE_ENGINE+HUGGINGFACE","modelVersion":"assignment-v1","status":"SUCCEEDED","latencyMs":914,"errorMessage":null,"createdAt":"2026-07-20T06:59:31.806337Z"}]</t>
  </si>
  <si>
    <t>/api/ai-analysis/{taskId}/risk</t>
  </si>
  <si>
    <t>Tính risk score, risk factors và giải thích AI cho task.</t>
  </si>
  <si>
    <t>{"runId":"fb86b7a8-dcc8-450d-a89d-2b251020fb55","taskId":8,"projectId":1,"totalScore":26.3,"riskLevel":"LOW","ruleVersion":"risk-v1","calculationMode":"RULES_WITH_AI_EXPLANATION","explanation":"Risk LOW (26,30/100). Main contributors: PROGRESS 58, DEADLINE 25, HISTORICAL 25. AI explanation: The Testing &amp; QA task has a LOW risk score of 26.3. It is primarily driven by a tight deadline (25) and moderate progress (58), with minimal workload (12) and no dependencies (0). Historical data shows similar past performance (25). While the deadline adds pressure, overall risk remains low due to stable progress, manageable workload, and no critical dependencies.","mitigationActions":["Continue monitoring at the next progress update."],"factors":[{"code":"DEADLINE","rawValue":"daysRemaining=8;remainingHours=0;availableHours=64","score":25,"weight":0.3,"contribution":7.5,"evidence":"Deadline proximity and remaining-effort pressure."},{"code":"PROGRESS","rawValue":"progress=0;expected=0,0;staleDays=14","score":58,"weight":0.25,"contribution":14.5,"evidence":"Progress shortfall against elapsed schedule and update staleness."},{"code":"DEPENDENCY","rawValue":"incomplete=0;total=0;reportedBlocker=False","score":0,"weight":0.2,"contribution":0,"evidence":"Incomplete task dependencies."},{"code":"WORKLOAD","rawValue":"activeTasks=1,0;availableHours=0,0;remainingHours=0","score":12,"weight":0.15,"contribution":1.8,"evidence":"Assignee workload and declared availability."},{"code":"HISTORICAL","rawValue":"deadlineScore=missing","score":25,"weight":0.1,"contribution":2.5,"evidence":"No historical evaluation; uncertainty baseline applied."}],"createdAt":"2026-07-20T06:59:40.554156Z"}</t>
  </si>
  <si>
    <t>/api/ai-analysis/{taskId}/risk-history</t>
  </si>
  <si>
    <t>Lấy lịch sử risk score và risk factors của task.</t>
  </si>
  <si>
    <t>/api/ai-analysis/{taskId}/summary</t>
  </si>
  <si>
    <t>Sinh bản tóm tắt task bằng mô hình AI.</t>
  </si>
  <si>
    <t>{"message":"Task summary generated successfully."}</t>
  </si>
  <si>
    <t>/api/ai-analysis/project/{projectId}/analyze-all</t>
  </si>
  <si>
    <t>Phân tích rủi ro hàng loạt cho toàn bộ task trong dự án.</t>
  </si>
  <si>
    <t>Project Dashboard → AI Risk</t>
  </si>
  <si>
    <t>Path: {"projectId":1}</t>
  </si>
  <si>
    <t>{"totalActive":5,"criticalRisk":0,"highRisk":0,"mediumRisk":4,"lowRisk":1,"averageScore":45.82,"status":"WARNING","warnings":[]}</t>
  </si>
  <si>
    <t>/api/ai-analysis/project/{projectId}/workload</t>
  </si>
  <si>
    <t>Tổng hợp workload của thành viên trong dự án.</t>
  </si>
  <si>
    <t>{"projectId":1,"suggestions":[{"userId":0,"userName":"AI Workload Analysis","suggestedTasks":[],"reason":"Based on the available users and the task priorities, here’s a logical and balanced assignment suggestion that considers skill alignment, workload distribution, and priority levels:\n\n---\n\n### ✅ Recommended Assignments:\n\n| Task | Assignee | Reason |\n|------|---------|--------|\n| **Payment Integration** (Priority: High) | **Le Van Cuong** | High priority requires strong backend/technical expertise; Payment integration often involves secure APIs, handling sensitive data, and compliance — Le Van Cuong likely has the most experience in backend systems or integrations. |\n| **Frontend – Product List Page** (Priority: Medium) | **Pham Thi Dung** | Frontend development (UI/UX, responsive design, dynamic rendering) suits Pham Thi Dung well. She appears to be a strong frontend developer based on typical skill sets in such teams. |\n| **Shopping Cart Feature** (Priority: Medium) | **Tran Thi Binh** | This feature involves state management,"}],"generatedAt":"2026-07-20T06:59:34.483855Z"}</t>
  </si>
  <si>
    <t>Auth</t>
  </si>
  <si>
    <t>/api/auth/google</t>
  </si>
  <si>
    <t>Đăng nhập hoặc đăng ký bằng Google ID token.</t>
  </si>
  <si>
    <t>Login / Register / Authentication Module</t>
  </si>
  <si>
    <t>AllowAnonymous; Content-Type theo body</t>
  </si>
  <si>
    <t>GoogleLoginRequest
idToken: string?</t>
  </si>
  <si>
    <t>Body: {"idToken":"&lt;redacted-test-value&gt;"}</t>
  </si>
  <si>
    <t>401 JSON lỗi an toàn khi Google token không hợp lệ; 200 AuthResponse khi token hợp lệ.</t>
  </si>
  <si>
    <t>{"message":"Token Google không hợp lệ."}</t>
  </si>
  <si>
    <t>Negative case hợp lệ: invalid token trả 401; DEF-API-001 đã được xử lý.</t>
  </si>
  <si>
    <t>/api/auth/login</t>
  </si>
  <si>
    <t>Đăng nhập bằng email và mật khẩu.</t>
  </si>
  <si>
    <t>LoginRequest
email: string?; password: string?</t>
  </si>
  <si>
    <t>Body: {"email":"an@taskgenie.dev","password":"&lt;redacted-test-value&gt;"}</t>
  </si>
  <si>
    <t>{"userId":1,"name":"Nguyen Van An","email":"an@taskgenie.dev","role":"NORMAL_USER","isFirstLogin":false,"isOrgOwner":true,"accessToken":"&lt;redacted&gt;","expiresAtUtc":"2026-07-20T07:59:29.497715Z","message":"Đăng nhập thành công"}</t>
  </si>
  <si>
    <t>Luồng Bcrypt + JWT thật; token/credential đã được che trong report.</t>
  </si>
  <si>
    <t>/api/auth/logout</t>
  </si>
  <si>
    <t>Đăng xuất và thu hồi JWT hiện tại theo JTI.</t>
  </si>
  <si>
    <t>200 JSON xác nhận logout; JWT hiện tại bị revoke theo JTI.</t>
  </si>
  <si>
    <t>{"message":"Đăng xuất thành công."}</t>
  </si>
  <si>
    <t>Logout 200; kiểm tra bổ sung xác nhận JWT cũ bị từ chối 401.</t>
  </si>
  <si>
    <t>/api/auth/register</t>
  </si>
  <si>
    <t>Tạo tài khoản người dùng mới.</t>
  </si>
  <si>
    <t>RegisterRequest
name: string?; email: string?; password: string?</t>
  </si>
  <si>
    <t>Body: {"name":"API Smoke User","email":"api.smoke.20260720065927782@example.com","password":"&lt;redacted-test-value&gt;"}</t>
  </si>
  <si>
    <t>{"userId":6,"name":"API Smoke User","email":"api.smoke.20260720065927782@example.com","role":"NORMAL_USER","isFirstLogin":true,"isOrgOwner":false,"accessToken":"&lt;redacted&gt;","expiresAtUtc":"2026-07-20T07:59:29.002844Z","message":"Đăng ký thành công"}</t>
  </si>
  <si>
    <t>Evaluations</t>
  </si>
  <si>
    <t>/api/Evaluations</t>
  </si>
  <si>
    <t>Tạo đánh giá kỹ năng, teamwork, deadline và communication.</t>
  </si>
  <si>
    <t>Evaluation Center / User Performance Detail</t>
  </si>
  <si>
    <t>CreateEvaluationRequest
userId: integer(int32); leaderId: integer(int32); skillScore: integer(int32)?; teamworkScore: integer(int32)?; deadlineScore: integer(int32)?; communicationScore: integer(int32)?</t>
  </si>
  <si>
    <t>Body: {"userId":2,"leaderId":1,"skillScore":4,"teamworkScore":4,"deadlineScore":4,"communicationScore":4}</t>
  </si>
  <si>
    <t>201 Created và JSON resource vừa tạo.</t>
  </si>
  <si>
    <t>{"evaluationId":1,"userId":2,"userName":"Tran Thi Binh","leaderId":1,"leaderName":"Nguyen Van An","skillScore":4,"teamworkScore":4,"deadlineScore":4,"communicationScore":4,"createdAt":"2026-07-20T06:59:30.180626Z"}</t>
  </si>
  <si>
    <t>/api/Evaluations/{id}</t>
  </si>
  <si>
    <t>Xóa một đánh giá năng lực.</t>
  </si>
  <si>
    <t>id: integer(int32) (required)</t>
  </si>
  <si>
    <t>Path: {"id":1}</t>
  </si>
  <si>
    <t>204 No Content.</t>
  </si>
  <si>
    <t>(empty response body)</t>
  </si>
  <si>
    <t>Lấy chi tiết một đánh giá năng lực.</t>
  </si>
  <si>
    <t>/api/Evaluations/leader/{leaderId}</t>
  </si>
  <si>
    <t>Lấy các đánh giá do leader thực hiện.</t>
  </si>
  <si>
    <t>leaderId: integer(int32) (required)</t>
  </si>
  <si>
    <t>Path: {"leaderId":1}</t>
  </si>
  <si>
    <t>[{"evaluationId":1,"userId":2,"userName":"Tran Thi Binh","leaderId":1,"leaderName":null,"skillScore":4,"teamworkScore":4,"deadlineScore":4,"communicationScore":4,"createdAt":"2026-07-20T06:59:30.180626Z"}]</t>
  </si>
  <si>
    <t>/api/Evaluations/user/{userId}</t>
  </si>
  <si>
    <t>Lấy các đánh giá nhận được của người dùng.</t>
  </si>
  <si>
    <t>Export</t>
  </si>
  <si>
    <t>/api/projects/{projectId}/export/pdf</t>
  </si>
  <si>
    <t>Xuất báo cáo dự án định dạng PDF.</t>
  </si>
  <si>
    <t>Reports Dashboard / Project Detail</t>
  </si>
  <si>
    <t>200 application/pdf (binary report).</t>
  </si>
  <si>
    <t>[binary response: application/pdf, 67774 bytes]</t>
  </si>
  <si>
    <t>/api/projects/{projectId}/export/xlsx</t>
  </si>
  <si>
    <t>Xuất báo cáo dự án định dạng Excel.</t>
  </si>
  <si>
    <t>200 XLSX binary report.</t>
  </si>
  <si>
    <t>[binary response: application/vnd.openxmlformats-officedocument.spreadsheetml.sheet, 10540 bytes]</t>
  </si>
  <si>
    <t>Invitations</t>
  </si>
  <si>
    <t>/api/Invitations</t>
  </si>
  <si>
    <t>Tạo lời mời người dùng vào team.</t>
  </si>
  <si>
    <t>Team Management / Invitations Inbox</t>
  </si>
  <si>
    <t>CreateInvitationRequest
teamId: integer(int32); email: string?</t>
  </si>
  <si>
    <t>Body: {"teamId":4,"email":"duc@taskgenie.dev"}</t>
  </si>
  <si>
    <t>{"invitationId":1,"teamId":4,"teamName":"API Smoke Team 20260720065927782","email":"duc@taskgenie.dev","status":"Pending"}</t>
  </si>
  <si>
    <t>/api/Invitations/{id}</t>
  </si>
  <si>
    <t>Xóa lời mời vào team.</t>
  </si>
  <si>
    <t>Lấy chi tiết lời mời vào team.</t>
  </si>
  <si>
    <t>/api/Invitations/{id}/status</t>
  </si>
  <si>
    <t>Chấp nhận hoặc từ chối lời mời team.</t>
  </si>
  <si>
    <t>UpdateInvitationStatusRequest
status: string?</t>
  </si>
  <si>
    <t>Path: {"id":1}
Body: {"status":"Accepted"}</t>
  </si>
  <si>
    <t>/api/Invitations/team/{teamId}</t>
  </si>
  <si>
    <t>Lấy các lời mời của một team.</t>
  </si>
  <si>
    <t>teamId: integer(int32) (required)</t>
  </si>
  <si>
    <t>Path: {"teamId":1}</t>
  </si>
  <si>
    <t>/api/Invitations/user/{email}</t>
  </si>
  <si>
    <t>Lấy lời mời theo email người nhận.</t>
  </si>
  <si>
    <t>email: string (required)</t>
  </si>
  <si>
    <t>Path: {"email":"duc@taskgenie.dev"}</t>
  </si>
  <si>
    <t>[{"invitationId":1,"teamId":4,"teamName":"API Smoke Team 20260720065927782","email":"duc@taskgenie.dev","status":"Pending"}]</t>
  </si>
  <si>
    <t>Meetings</t>
  </si>
  <si>
    <t>/api/Meetings</t>
  </si>
  <si>
    <t>Tạo cuộc họp và danh sách người tham dự.</t>
  </si>
  <si>
    <t>Project Detail / Meetings / Calendar</t>
  </si>
  <si>
    <t>CreateMeetingRequest
projectId: integer(int32); organizedBy: integer(int32); title: string?; description: string?; scheduledAt: string(date-time); endAt: string(date-time)?; location: string?; attendeeUserIds: array&lt;integer(int32)&gt;?</t>
  </si>
  <si>
    <t>Body: {"projectId":1,"organizedBy":1,"title":"API smoke meeting","description":"Created by automated API smoke test","scheduledAt":"2026-07-21T06:59:29.967Z","endAt":"2026-07-21T07:59:29.967Z","location":"Online","attendeeUserIds":[2]}</t>
  </si>
  <si>
    <t>{"meetingId":1,"projectId":1,"projectName":"E-Commerce Platform","organizedBy":1,"organizerName":"Nguyen Van An","title":"API smoke meeting","description":"Created by automated API smoke test","scheduledAt":"2026-07-21T06:59:29.967Z","endAt":"2026-07-21T07:59:29.967Z","location":"Online","status":"Scheduled","createdAt":"2026-07-20T06:59:30.006537Z","updatedAt":null,"attendees":[{"userId":2,"userName":"Tran Thi Binh","userEmail":"binh@taskgenie.dev","status":"Invited"}]}</t>
  </si>
  <si>
    <t>/api/Meetings/{id}</t>
  </si>
  <si>
    <t>Xóa cuộc họp.</t>
  </si>
  <si>
    <t>Lấy chi tiết cuộc họp.</t>
  </si>
  <si>
    <t>{"meetingId":1,"projectId":1,"projectName":"E-Commerce Platform","organizedBy":1,"organizerName":"Nguyen Van An","title":"API smoke meeting","description":"Created by automated API smoke test","scheduledAt":"2026-07-21T06:59:29.967Z","endAt":"2026-07-21T07:59:29.967Z","location":"Online","status":"Scheduled","createdAt":"2026-07-20T06:59:30.006537Z","updatedAt":null,"attendees":[{"userId":2,"userName":"Tran Thi Binh","userEmail":"binh@taskgenie.dev","status":"Invited"},{"userId":3,"userName":"Le Van Cuong","userEmail":"cuong@taskgenie.dev","status":"Invited"}]}</t>
  </si>
  <si>
    <t>Cập nhật thông tin và trạng thái cuộc họp.</t>
  </si>
  <si>
    <t>UpdateMeetingRequest
title: string?; description: string?; scheduledAt: string(date-time)?; endAt: string(date-time)?; location: string?; status: string?</t>
  </si>
  <si>
    <t>Path: {"id":1}
Body: {"title":"Updated API smoke meeting","description":"Updated by smoke test","scheduledAt":"2026-07-21T06:59:52.538Z","endAt":"2026-07-21T07:59:52.538Z","location":"Meeting Room A","status":"Scheduled"}</t>
  </si>
  <si>
    <t>/api/Meetings/{id}/attendees</t>
  </si>
  <si>
    <t>Thêm người tham dự vào cuộc họp.</t>
  </si>
  <si>
    <t>AddAttendeeRequest
userId: integer(int32)</t>
  </si>
  <si>
    <t>Path: {"id":1}
Body: {"userId":3}</t>
  </si>
  <si>
    <t>{"message":"Attendee added."}</t>
  </si>
  <si>
    <t>/api/Meetings/{id}/attendees/{userId}</t>
  </si>
  <si>
    <t>Xóa người tham dự khỏi cuộc họp.</t>
  </si>
  <si>
    <t>id: integer(int32) (required); userId: integer(int32) (required)</t>
  </si>
  <si>
    <t>Path: {"id":1,"userId":3}</t>
  </si>
  <si>
    <t>/api/Meetings/{id}/attendees/status</t>
  </si>
  <si>
    <t>Cập nhật trạng thái tham dự cuộc họp.</t>
  </si>
  <si>
    <t>UpdateAttendeeStatusRequest
userId: integer(int32); status: string?</t>
  </si>
  <si>
    <t>Path: {"id":1}
Body: {"userId":3,"status":"Accepted"}</t>
  </si>
  <si>
    <t>/api/Meetings/project/{projectId}</t>
  </si>
  <si>
    <t>Lấy toàn bộ cuộc họp của dự án.</t>
  </si>
  <si>
    <t>Path: {"projectId":3}</t>
  </si>
  <si>
    <t>/api/Meetings/project/{projectId}/upcoming</t>
  </si>
  <si>
    <t>Lấy các cuộc họp sắp diễn ra của dự án.</t>
  </si>
  <si>
    <t>/api/Meetings/user</t>
  </si>
  <si>
    <t>Lấy lịch họp của người dùng hiện tại.</t>
  </si>
  <si>
    <t>[{"meetingId":1,"projectId":1,"projectName":"E-Commerce Platform","organizedBy":1,"organizerName":"Nguyen Van An","title":"API smoke meeting","description":"Created by automated API smoke test","scheduledAt":"2026-07-21T06:59:29.967Z","endAt":"2026-07-21T07:59:29.967Z","location":"Online","status":"Scheduled","createdAt":"2026-07-20T06:59:30.006537Z","updatedAt":null,"attendees":[{"userId":2,"userName":"Tran Thi Binh","userEmail":"binh@taskgenie.dev","status":"Invited"},{"userId":3,"userName":"Le Van Cuong","userEmail":"cuong@taskgenie.dev","status":"Invited"}]}]</t>
  </si>
  <si>
    <t>Notifications</t>
  </si>
  <si>
    <t>/api/Notifications/{id}</t>
  </si>
  <si>
    <t>Xóa một thông báo.</t>
  </si>
  <si>
    <t>Header → Notification Center</t>
  </si>
  <si>
    <t>/api/Notifications/{id}/read</t>
  </si>
  <si>
    <t>Đánh dấu một thông báo đã đọc.</t>
  </si>
  <si>
    <t>/api/Notifications/user/{userId}</t>
  </si>
  <si>
    <t>Lấy danh sách thông báo của người dùng.</t>
  </si>
  <si>
    <t>Path: {"userId":4}</t>
  </si>
  <si>
    <t>[{"notificationId":1,"userId":4,"type":"COMMENT","title":"Bình luận mới trên \"Testing &amp; QA\"","message":"Nguyen Van An đã bình luận: API smoke test comment","referenceId":8,"referenceType":"TASK","isRead":false,"createdAt":"2026-07-20T06:59:30.487889Z"}]</t>
  </si>
  <si>
    <t>/api/Notifications/user/{userId}/read-all</t>
  </si>
  <si>
    <t>Đánh dấu tất cả thông báo đã đọc.</t>
  </si>
  <si>
    <t>/api/Notifications/user/{userId}/unread-count</t>
  </si>
  <si>
    <t>Đếm số thông báo chưa đọc.</t>
  </si>
  <si>
    <t>{"count":1}</t>
  </si>
  <si>
    <t>Organizations</t>
  </si>
  <si>
    <t>/api/Organizations/{orgId}</t>
  </si>
  <si>
    <t>Lấy thông tin chi tiết tổ chức.</t>
  </si>
  <si>
    <t>Administration Center / Organization Detail</t>
  </si>
  <si>
    <t>orgId: integer(int32) (required)</t>
  </si>
  <si>
    <t>Path: {"orgId":1}</t>
  </si>
  <si>
    <t>{"organizationId":1,"name":"TaskGenie Corp","description":"Công ty phát triển phần mềm","logo":null,"ownerId":1,"ownerName":"Nguyen Van An","createdAt":"2026-07-20T06:59:19.618607Z"}</t>
  </si>
  <si>
    <t>/api/Organizations/{orgId}/projects</t>
  </si>
  <si>
    <t>Lấy các dự án thuộc tổ chức.</t>
  </si>
  <si>
    <t>[{"projectId":2,"name":"Mobile App Redesign","description":"Thiết kế lại ứng dụng di động","status":"InProgress","deadline":"2026-08-15","progress":40,"predictedEndDate":null,"riskLevel":"LOW","pmId":1,"pmName":"Nguyen Van An","isEvaluated":false,"teamId":2,"teamMemberCount":3},{"projectId":1,"name":"E-Commerce Platform","description":"Nền tảng thương mại điện tử B2C","status":"InProgress","deadline":"2026-07-31","progress":38,"predictedEndDate":null,"riskLevel":"LOW","pmId":1,"pmName":"Nguyen Van An","isEvaluated":true,"teamId":1,"teamMemberCount":4},{"projectId":3,"name":"API Smoke Project 20260720065927782","description":"Ephemeral InMemory test project","status":"Planning","deadline":"2026-12-31","progress":0,"predictedEndDate":null,"riskLevel":"LOW","pmId":1,"pmName":"Nguyen Van An","isEvaluated":false,"teamId":3,"teamMemberCount":2}]</t>
  </si>
  <si>
    <t>/api/Organizations/{orgId}/projects/{projectId}</t>
  </si>
  <si>
    <t>Lấy chi tiết dự án trong phạm vi tổ chức.</t>
  </si>
  <si>
    <t>orgId: integer(int32) (required); projectId: integer(int32) (required)</t>
  </si>
  <si>
    <t>Path: {"orgId":1,"projectId":1}</t>
  </si>
  <si>
    <t>{"projectId":1,"name":"E-Commerce Platform","description":"Nền tảng thương mại điện tử B2C","status":"InProgress","deadline":"2026-07-31","progress":38,"predictedEndDate":null,"riskLevel":"LOW","pmId":1,"pmName":"Nguyen Van An","isEvaluated":true,"teamId":1,"teamMemberCount":4}</t>
  </si>
  <si>
    <t>/api/Organizations/{orgId}/projects/{projectId}/evaluate</t>
  </si>
  <si>
    <t>Gửi đánh giá tổng thể cho dự án.</t>
  </si>
  <si>
    <t>EvaluateProjectRequest
evaluatorId: integer(int32); overallScore: integer(int32)?; qualityScore: integer(int32)?; timelinessScore: integer(int32)?; communicationScore: integer(int32)?; comment: string?</t>
  </si>
  <si>
    <t>Path: {"orgId":1,"projectId":1}
Body: {"evaluatorId":1,"overallScore":4,"qualityScore":4,"timelinessScore":4,"communicationScore":4,"comment":"API smoke evaluation"}</t>
  </si>
  <si>
    <t>{"message":"Project evaluation submitted successfully."}</t>
  </si>
  <si>
    <t>/api/Organizations/{orgId}/projects/{projectId}/evaluation</t>
  </si>
  <si>
    <t>Lấy kết quả đánh giá dự án.</t>
  </si>
  <si>
    <t>{"evaluationId":1,"projectId":1,"evaluatorId":1,"evaluatorName":"Nguyen Van An","overallScore":4,"qualityScore":4,"timelinessScore":4,"communicationScore":4,"comment":"API smoke evaluation","createdAt":"2026-07-20T06:59:32.138643Z"}</t>
  </si>
  <si>
    <t>/api/Organizations/admin/all</t>
  </si>
  <si>
    <t>Lấy toàn bộ tổ chức cho admin.</t>
  </si>
  <si>
    <t>[{"organizationId":1,"name":"TaskGenie Corp","description":"Công ty phát triển phần mềm","logo":null,"ownerId":1,"ownerName":"Nguyen Van An","createdAt":"2026-07-20T06:59:19.618607Z"}]</t>
  </si>
  <si>
    <t>/api/Organizations/my</t>
  </si>
  <si>
    <t>Lấy tổ chức do người dùng hiện tại sở hữu.</t>
  </si>
  <si>
    <t>{"org":{"organizationId":1,"name":"TaskGenie Corp","description":"Công ty phát triển phần mềm","logo":null,"ownerId":1,"ownerName":"Nguyen Van An","createdAt":"2026-07-20T06:59:19.618607Z"},"projects":[{"projectId":2,"name":"Mobile App Redesign","description":"Thiết kế lại ứng dụng di động","status":"InProgress","deadline":"2026-08-15","progress":40,"predictedEndDate":null,"riskLevel":"LOW","pmId":1,"pmName":"Nguyen Van An","isEvaluated":false,"teamId":2,"teamMemberCount":3},{"projectId":1,"name":"E-Commerce Platform","description":"Nền tảng thương mại điện tử B2C","status":"InProgress","deadline":"2026-07-31","progress":38,"predictedEndDate":null,"riskLevel":"LOW","pmId":1,"pmName":"Nguyen Van An","isEvaluated":true,"teamId":1,"teamMemberCount":4},{"projectId":3,"name":"API Smoke Project 20260720065927782","description":"Ephemeral InMemory test project","status":"Planning","deadline":"2026-12-31","progress":0,"predictedEndDate":null,"riskLevel":"LOW","pmId":1,"pmName":"Nguyen Van An","isEvaluated":false,"teamId":3,"teamMemberCount":2}]}</t>
  </si>
  <si>
    <t>Projects</t>
  </si>
  <si>
    <t>/api/Projects</t>
  </si>
  <si>
    <t>Lấy danh sách dự án của người dùng hiện tại.</t>
  </si>
  <si>
    <t>Project Management / Dashboard / Project Detail</t>
  </si>
  <si>
    <t>[{"projectId":2,"createdBy":1,"name":"Mobile App Redesign","description":"Thiết kế lại ứng dụng di động","status":"InProgress","organizationId":1,"organizationName":"TaskGenie Corp","teamId":2,"teamName":"Beta Team","deadline":"2026-08-15","progress":0,"predictedEndDate":null,"riskLevel":"LOW","createdAt":"2026-07-20T06:59:19.699663Z","updatedAt":"2026-07-20T06:59:19.69971Z"},{"projectId":1,"createdBy":1,"name":"E-Commerce Platform","description":"Nền tảng thương mại điện tử B2C","status":"InProgress","organizationId":1,"organizationName":"TaskGenie Corp","teamId":1,"teamName":"Alpha Team","deadline":"2026-07-31","progress":0,"predictedEndDate":null,"riskLevel":"LOW","createdAt":"2026-07-20T06:59:19.699008Z","updatedAt":"2026-07-20T06:59:19.699514Z"},{"projectId":3,"createdBy":1,"name":"API Smoke Project 20260720065927782","description":"Ephemeral InMemory test project","status":"Planning","organizationId":1,"organizationName":"TaskGenie Corp","teamId":3,"teamName":"Team Project: API Smoke Project 20260720065927782","deadline":"2026-12-31","progress":0,"predictedEndDate":null,"riskLevel":"LOW","createdAt":"2026-07-20T06:59:29.56267Z","updatedAt":null}]</t>
  </si>
  <si>
    <t>Tạo dự án và team 1:1 cho dự án.</t>
  </si>
  <si>
    <t>CreateProjectRequest
name: string?; description: string?; createdBy: integer(int32); organizationId: integer(int32)?; deadline: string(date)?</t>
  </si>
  <si>
    <t>Body: {"name":"API Smoke Project 20260720065927782","description":"Ephemeral InMemory test project","createdBy":1,"organizationId":1,"deadline":"2026-12-31"}</t>
  </si>
  <si>
    <t>{"projectId":3,"createdBy":1,"name":"API Smoke Project 20260720065927782","description":"Ephemeral InMemory test project","status":"Planning","organizationId":1,"organizationName":"TaskGenie Corp","teamId":3,"teamName":"Team Project: API Smoke Project 20260720065927782","deadline":"2026-12-31","progress":0,"predictedEndDate":null,"riskLevel":"LOW","createdAt":"2026-07-20T06:59:29.56267Z","updatedAt":null}</t>
  </si>
  <si>
    <t>/api/Projects/{id}</t>
  </si>
  <si>
    <t>Xóa dự án.</t>
  </si>
  <si>
    <t>Path: {"id":3}</t>
  </si>
  <si>
    <t>Lấy chi tiết dự án.</t>
  </si>
  <si>
    <t>{"projectId":1,"createdBy":1,"name":"E-Commerce Platform","description":"Nền tảng thương mại điện tử B2C","status":"InProgress","organizationId":1,"organizationName":"TaskGenie Corp","teamId":1,"teamName":"Alpha Team","deadline":"2026-07-31","progress":0,"predictedEndDate":null,"riskLevel":"LOW","createdAt":"2026-07-20T06:59:19.699008Z","updatedAt":"2026-07-20T06:59:19.699514Z"}</t>
  </si>
  <si>
    <t>Cập nhật thông tin dự án.</t>
  </si>
  <si>
    <t>UpdateProjectRequest
name: string?; description: string?; status: string?; teamId: integer(int32)?; deadline: string(date)?</t>
  </si>
  <si>
    <t>Path: {"id":3}
Body: {"name":"Updated API Smoke Project","description":"Updated by smoke test","status":"InProgress","teamId":4,"deadline":"2026-12-31"}</t>
  </si>
  <si>
    <t>/api/Projects/{id}/close</t>
  </si>
  <si>
    <t>Đóng dự án và tính điểm thành viên.</t>
  </si>
  <si>
    <t>{"projectId":3,"projectName":"Updated API Smoke Project","deadline":"2026-12-31","closedAt":"2026-07-20","projectCompletionStatus":"Early","daysVsDeadline":164,"totalTasks":1,"doneTasks":0,"inProgressTasks":1,"todoTasks":0,"onTimeTaskRate":100,"projectClosureScorePerMember":120,"projectClosureScoreType":"REWARD","memberScores":[{"userId":1,"userName":"API Smoke User Updated","avatar":"https://res.cloudinary.com/dqu61fiui/image/upload/v1784530790/taskgenie/avatars/i0k0h7blaxeawni9ig8u.png","level":"Silver","taskScore":0,"closureScore":120,"totalProjectScore":120},{"userId":2,"userName":"Tran Thi Binh","avatar":null,"level":"Silver","taskScore":0,"closureScore":120,"totalProjectScore":120},{"userId":5,"userName":"Hoang Minh Duc","avatar":null,"level":"Silver","taskScore":0,"closureScore":120,"totalProjectScore":120}]}</t>
  </si>
  <si>
    <t>/api/Projects/{id}/members</t>
  </si>
  <si>
    <t>Thêm thành viên vào team của dự án.</t>
  </si>
  <si>
    <t>AddProjectMemberRequest
email: string?; role: string?</t>
  </si>
  <si>
    <t>Path: {"id":3}
Body: {"email":"binh@taskgenie.dev","role":"MEMBER"}</t>
  </si>
  <si>
    <t>{"message":"Member added to project."}</t>
  </si>
  <si>
    <t>/api/Projects/{id}/summary</t>
  </si>
  <si>
    <t>Xem trước tổng kết và kết quả dự án.</t>
  </si>
  <si>
    <t>Project Detail → Summary / Close Project</t>
  </si>
  <si>
    <t>{"projectId":3,"projectName":"API Smoke Project 20260720065927782","deadline":"2026-12-31","closedAt":"2026-07-20","projectCompletionStatus":"Early","daysVsDeadline":164,"totalTasks":1,"doneTasks":0,"inProgressTasks":0,"todoTasks":1,"onTimeTaskRate":100,"projectClosureScorePerMember":120,"projectClosureScoreType":"REWARD","memberScores":[{"userId":1,"userName":"Nguyen Van An","avatar":null,"level":"Silver","taskScore":0,"closureScore":120,"totalProjectScore":120},{"userId":2,"userName":"Tran Thi Binh","avatar":null,"level":"Silver","taskScore":0,"closureScore":120,"totalProjectScore":120}]}</t>
  </si>
  <si>
    <t>Skills</t>
  </si>
  <si>
    <t>/api/Skills</t>
  </si>
  <si>
    <t>Lấy danh mục kỹ năng.</t>
  </si>
  <si>
    <t>User Profile / Team Management / Skill Matrix</t>
  </si>
  <si>
    <t>[{"skillId":5,"skillName":"Testing"},{"skillId":4,"skillName":"UI/UX"},{"skillId":3,"skillName":"SQL"},{"skillId":2,"skillName":"React"},{"skillId":1,"skillName":"C#"},{"skillId":6,"skillName":"DevOps"},{"skillId":7,"skillName":"Python"},{"skillId":8,"skillName":"Node.js"},{"skillId":9,"skillName":"API-Smoke-20260720065927782"}]</t>
  </si>
  <si>
    <t>Tạo kỹ năng mới.</t>
  </si>
  <si>
    <t>CreateSkillRequest
skillName: string?</t>
  </si>
  <si>
    <t>Body: {"skillName":"API-Smoke-20260720065927782"}</t>
  </si>
  <si>
    <t>{"skillId":9,"skillName":"API-Smoke-20260720065927782"}</t>
  </si>
  <si>
    <t>/api/Skills/{id}</t>
  </si>
  <si>
    <t>Lấy chi tiết kỹ năng.</t>
  </si>
  <si>
    <t>Path: {"id":9}</t>
  </si>
  <si>
    <t>/api/Skills/user</t>
  </si>
  <si>
    <t>Gán kỹ năng và level cho người dùng.</t>
  </si>
  <si>
    <t>AddUserSkillRequest
userId: integer(int32); skillId: integer(int32); level: integer(int32)</t>
  </si>
  <si>
    <t>Body: {"userId":1,"skillId":9,"level":3}</t>
  </si>
  <si>
    <t>{"message":"Skill added to user profile."}</t>
  </si>
  <si>
    <t>/api/Skills/user/{userId}</t>
  </si>
  <si>
    <t>Lấy kỹ năng và level của người dùng.</t>
  </si>
  <si>
    <t>[{"id":2,"userId":1,"userName":null,"skillId":3,"skillName":"SQL","level":4},{"id":1,"userId":1,"userName":null,"skillId":1,"skillName":"C#","level":5},{"id":11,"userId":1,"userName":null,"skillId":9,"skillName":"API-Smoke-20260720065927782","level":3}]</t>
  </si>
  <si>
    <t>/api/Skills/user/{userSkillId}</t>
  </si>
  <si>
    <t>Xóa kỹ năng khỏi hồ sơ người dùng.</t>
  </si>
  <si>
    <t>userSkillId: integer(int32) (required)</t>
  </si>
  <si>
    <t>Path: {"userSkillId":11}</t>
  </si>
  <si>
    <t>Cập nhật level kỹ năng của người dùng.</t>
  </si>
  <si>
    <t>integer(int32)</t>
  </si>
  <si>
    <t>Path: {"userSkillId":11}
Body: 4</t>
  </si>
  <si>
    <t>TaskAssignment</t>
  </si>
  <si>
    <t>/api/task-assignment/accept</t>
  </si>
  <si>
    <t>Duyệt đề xuất AI và giao task cho ứng viên.</t>
  </si>
  <si>
    <t>Core AI Demo Panel / Task Detail / Assignment Drawer</t>
  </si>
  <si>
    <t>AcceptRecommendationRequest
taskId: integer(int32); userId: integer(int32); outcome: string?</t>
  </si>
  <si>
    <t>Body: {"taskId":8,"userId":4,"outcome":"Accepted by API smoke test"}</t>
  </si>
  <si>
    <t>{"message":"Successfully assigned user to the task."}</t>
  </si>
  <si>
    <t>/api/task-assignment/recommend</t>
  </si>
  <si>
    <t>Xếp hạng ứng viên theo skill, semantic, workload và performance.</t>
  </si>
  <si>
    <t>TaskAssignmentRequest
taskId: integer(int32); projectId: integer(int32)</t>
  </si>
  <si>
    <t>Body: {"taskId":8,"projectId":1}</t>
  </si>
  <si>
    <t>{"runId":"a6d8e507-6a6d-4efa-b750-4eb22937214b","taskId":8,"taskTitle":"Testing &amp; QA","requiredSkills":[{"skillId":1,"skillName":"C#","requiredLevel":1},{"skillId":5,"skillName":"Testing","requiredLevel":1}],"suggestions":[{"rank":1,"userId":4,"userName":"Pham Thi Dung","score":61.95,"reason":"Rank: #1/4 in the team\nBest candidate for task \"Testing &amp; QA\" with total score 62%\n\nSkill Match: 50% (team avg: 37,5%, best: 50% - Pham Thi Dung)\n  [MISSING] C#: Not found (requires level 1). 2/4 members have this skill\n  [OK] Testing: Level 5/1 required. 1/4 members have this skill\n\nAI Semantic Match: 81% (team avg: 76,6%, best: 81% - Pham Thi Dung)\n  -&gt; Profile is a VERY GOOD match for this task\n\nWorkload: 71% (team avg: 66,5%, most available: 71% - Pham Thi Dung)\n  -&gt; 1 active tasks, 0h available/week\n  Least busy in the team\n\nPerformance: 50% (team avg: 47,5%, best: 50% - Pham Thi Dung)\n  -&gt; No performance evaluations yet (default 50%)\n\nConclusion: Outperforms team in: skill match, AI semantic, workload availability, performance. ","skillMatchScore":50,"semanticSimilarityScore":81,"workloadScore":71,"performanceScore":50,"status":"GENERATED"},{"rank":2,"userId":1,"userName":"Nguyen Van An","score":61.14,"reason":"Rank: #2/4 in the team\nLower than #1 (Pham Thi Dung) by 0,8 points\n\nSkill Match: 50% (team avg: 37,5%, best: 50% - Pham Thi Dung)\n  [OK] C#: Level 5/1 required. 2/4 members have this skill\n  [MISSING] Testing: Not found (requires level 1). 1/4 members have this skill\n\nAI Semantic Match: 77,8% (team avg: 76,6%, best: 81% - Pham Thi Dung)\n  -&gt; Profile is a GOOD match for this task\n\nWorkload: 71% (team avg: 66,5%, most available: 71% - Pham Thi Dung)\n  -&gt; 1 active tasks, 0h available/week\n  Compared to: Pham Thi Dung (1 tasks), Le Van Cuong (2 tasks)\n\nPerformance: 50% (team avg: 47,5%, best: 50% - Pham Thi Dung)\n  -&gt; No performance evaluations yet (default 50%)\n\nConclusion: Outperforms team in: skill match, AI semantic, workload availability, performance. ","skillMatchScore":50,"semanticSimilarityScore":77.78,"workloadScore":71,"performanceScore":50,"status":"GENERATED"},{"rank":3,"userId":3,"userName":"Le Van Cuong","score":59.04,"reason":"Rank: #3/4 in the team\nLower than #1 (Pham Thi Dung) by 2,9 points\n\nSkill Match: 50% (team avg: 37,5%, best: 50% - Pham Thi Dung)\n  [OK] C#: Level 4/1 required. 2/4 members have this skill\n  [MISSING] Testing: Not found (requires level 1). 1/4 members have this skill\n\nAI Semantic Match: 76,5% (team avg: 76,6%, best: 81% - Pham Thi Dung)\n  -&gt; Profile is a GOOD match for this task\n\nWorkload: 62% (team avg: 66,5%, most available: 71% - Pham Thi Dung)\n  -&gt; 2 active tasks, 0h available/week\n  Compared to: Pham Thi Dung (1 tasks), Le Van Cuong (2 tasks)\n\nPerformance: 50% (team avg: 47,5%, best: 50% - Pham Thi Dung)\n  -&gt; No performance evaluations yet (default 50%)\n\nConclusion: Outperforms team in: skill match, performance. Below team average in: AI semantic, workload.","skillMatchScore":50,"semanticSimilarityScore":76.54,"workloadScore":62,"performanceScore":50,"status":"GENERATED"}],"generatedAt":"2026-07-20T06:59:31.832258Z","modelVersion":"assignment-v1","providerStatus":"SUCCEEDED"}</t>
  </si>
  <si>
    <t>/api/task-assignment/reject</t>
  </si>
  <si>
    <t>Từ chối đề xuất AI và lưu lý do.</t>
  </si>
  <si>
    <t>RejectRecommendationRequest
taskId: integer(int32); userId: integer(int32); reason: string?</t>
  </si>
  <si>
    <t>Body: {"taskId":8,"userId":1,"reason":"Rejected by API smoke test"}</t>
  </si>
  <si>
    <t>{"message":"Recommendation rejected and feedback recorded."}</t>
  </si>
  <si>
    <t>/api/task-assignment/task/{taskId}/history</t>
  </si>
  <si>
    <t>Lấy lịch sử đề xuất và quyết định giao việc.</t>
  </si>
  <si>
    <t>[{"id":1,"runId":"a6d8e507-6a6d-4efa-b750-4eb22937214b","taskId":8,"userId":4,"userName":"Pham Thi Dung","rank":1,"score":61.95,"skillMatchScore":50,"semanticSimilarityScore":81,"workloadScore":71,"performanceScore":50,"reason":"Rank: #1/4 in the team\nBest candidate for task \"Testing &amp; QA\" with total score 62%\n\nSkill Match: 50% (team avg: 37,5%, best: 50% - Pham Thi Dung)\n  [MISSING] C#: Not found (requires level 1). 2/4 members have this skill\n  [OK] Testing: Level 5/1 required. 1/4 members have this skill\n\nAI Semantic Match: 81% (team avg: 76,6%, best: 81% - Pham Thi Dung)\n  -&gt; Profile is a VERY GOOD match for this task\n\nWorkload: 71% (team avg: 66,5%, most available: 71% - Pham Thi Dung)\n  -&gt; 1 active tasks, 0h available/week\n  Least busy in the team\n\nPerformance: 50% (team avg: 47,5%, best: 50% - Pham Thi Dung)\n  -&gt; No performance evaluations yet (default 50%)\n\nConclusion: Outperforms team in: skill match, AI semantic, workload availability, performance. ","status":"ACCEPTED","decidedBy":1,"decidedAt":"2026-07-20T06:59:31.96007Z","outcome":"Accepted by API smoke test","modelVersion":"assignment-v1","createdAt":"2026-07-20T06:59:31.716045Z"},{"id":2,"runId":"a6d8e507-6a6d-4efa-b750-4eb22937214b","taskId":8,"userId":1,"userName":"Nguyen Van An","rank":2,"score":61.14,"skillMatchScore":50,"semanticSimilarityScore":77.78,"workloadScore":71,"performanceScore":50,"reason":"Rank: #2/4 in the team\nLower than #1 (Pham Thi Dung) by 0,8 points\n\nSkill Match: 50% (team avg: 37,5%, best: 50% - Pham Thi Dung)\n  [OK] C#: Level 5/1 required. 2/4 members have this skill\n  [MISSING] Testing: Not found (requires level 1). 1/4 members have this skill\n\nAI Semantic Match: 77,8% (team avg: 76,6%, best: 81% - Pham Thi Dung)\n  -&gt; Profile is a GOOD match for this task\n\nWorkload: 71% (team avg: 66,5%, most available: 71% - Pham Thi Dung)\n  -&gt; 1 active tasks, 0h available/week\n  Compared to: Pham Thi Dung (1 tasks), Le Van Cuong (2 tasks)\n\nPerformance: 50% (team avg: 47,5%, best: 50% - Pham Thi Dung)\n  -&gt; No performance evaluations yet (default 50%)\n\nConclusion: Outperforms team in: skill match, AI semantic, workload availability, performance. ","status":"REJECTED","decidedBy":1,"decidedAt":"2026-07-20T06:59:31.986112Z","outcome":"Rejected by API smoke test","modelVersion":"assignment-v1","createdAt":"2026-07-20T06:59:31.716317Z"},{"id":3,"runId":"a6d8e507-6a6d-4efa-b750-4eb22937214b","taskId":8,"userId":3,"userName":"Le Van Cuong","rank":3,"score":59.04,"skillMatchScore":50,"semanticSimilarityScore":76.54,"workloadScore":62,"performanceScore":50,"reason":"Rank: #3/4 in the team\nLower than #1 (Pham Thi Dung) by 2,9 points\n\nSkill Match: 50% (team avg: 37,5%, best: 50% - Pham Thi Dung)\n  [OK] C#: Level 4/1 required. 2/4 members have this skill\n  [MISSING] Testing: Not found (requires level 1). 1/4 members have this skill\n\nAI Semantic Match: 76,5% (team avg: 76,6%, best: 81% - Pham Thi Dung)\n  -&gt; Profile is a GOOD match for this task\n\nWorkload: 62% (team avg: 66,5%, most available: 71% - Pham Thi Dung)\n  -&gt; 2 active tasks, 0h available/week\n  Compared to: Pham Thi Dung (1 tasks), Le Van Cuong (2 tasks)\n\nPerformance: 50% (team avg: 47,5%, best: 50% - Pham Thi Dung)\n  -&gt; No performance evaluations yet (default 50%)\n\nConclusion: Outperforms team in: skill match, performance. Below team average in: AI semantic, workload.","status":"REJECTED","decidedBy":1,"decidedAt":"2026-07-20T06:59:31.960446Z","outcome":null,"modelVersion":"assignment-v1","createdAt":"2026-07-20T06:59:31.716318Z"}]</t>
  </si>
  <si>
    <t>TaskComments</t>
  </si>
  <si>
    <t>/api/TaskComments</t>
  </si>
  <si>
    <t>Tạo bình luận hoặc đính kèm URL ảnh cho task.</t>
  </si>
  <si>
    <t>Task Detail → Comments</t>
  </si>
  <si>
    <t>CreateTaskCommentRequest
taskId: integer(int32); userId: integer(int32); content: string?; imageUrl: string?</t>
  </si>
  <si>
    <t>Body: {"taskId":8,"userId":1,"content":"API smoke test comment","imageUrl":null}</t>
  </si>
  <si>
    <t>{"commentId":1,"taskId":8,"userId":1,"userName":"Nguyen Van An","userAvatar":null,"content":"API smoke test comment","imageUrl":null,"createdAt":"2026-07-20T06:59:30.36883Z"}</t>
  </si>
  <si>
    <t>/api/TaskComments/{commentId}</t>
  </si>
  <si>
    <t>Xóa bình luận task.</t>
  </si>
  <si>
    <t>commentId: integer(int32) (required)</t>
  </si>
  <si>
    <t>Path: {"commentId":1}</t>
  </si>
  <si>
    <t>/api/TaskComments/task/{taskId}</t>
  </si>
  <si>
    <t>Lấy bình luận của task.</t>
  </si>
  <si>
    <t>Path: {"taskId":14}</t>
  </si>
  <si>
    <t>TaskEvidence</t>
  </si>
  <si>
    <t>/api/tasks/{taskId}/evidence</t>
  </si>
  <si>
    <t>Lấy URL/file evidence của task.</t>
  </si>
  <si>
    <t>Task Detail → Evidence</t>
  </si>
  <si>
    <t>[{"evidenceId":1,"taskId":8,"taskLogId":null,"evidenceType":"URL","description":"API smoke test evidence","externalUrl":"https://example.com/api-smoke","attachment":null,"submittedBy":1,"createdAt":"2026-07-20T06:59:30.602535Z"}]</t>
  </si>
  <si>
    <t>Tạo evidence phục vụ kiểm chứng tiến độ và AI.</t>
  </si>
  <si>
    <t>CreateTaskEvidenceRequest
evidenceType: string?; description: string?; taskLogId: integer(int32)?; externalUrl: string?; fileName: string?; mimeType: string?; sizeBytes: integer(int64)?; storageUrl: string?; storagePublicId: string?</t>
  </si>
  <si>
    <t>Path: {"taskId":8}
Body: {"evidenceType":"URL","description":"API smoke test evidence","taskLogId":null,"externalUrl":"https://example.com/api-smoke","fileName":null,"mimeType":null,"sizeBytes":null,"storageUrl":null,"storagePublicId":null}</t>
  </si>
  <si>
    <t>{"evidenceId":1,"taskId":8,"taskLogId":null,"evidenceType":"URL","description":"API smoke test evidence","externalUrl":"https://example.com/api-smoke","attachment":null,"submittedBy":1,"createdAt":"2026-07-20T06:59:30.602535Z"}</t>
  </si>
  <si>
    <t>TaskProgress</t>
  </si>
  <si>
    <t>/api/task-progress/{taskId}</t>
  </si>
  <si>
    <t>Ghi một mốc tiến độ, note và risk cho task.</t>
  </si>
  <si>
    <t>Kanban Board / Task Detail / Progress Log</t>
  </si>
  <si>
    <t>LogProgressRequest
progress: integer(int32); note: string?; risk: string?</t>
  </si>
  <si>
    <t>Path: {"taskId":14}
Body: {"progress":35,"note":"API smoke progress","risk":"LOW"}</t>
  </si>
  <si>
    <t>200 JSON kết quả/thông báo.</t>
  </si>
  <si>
    <t>{"message":"Progress updated successfully."}</t>
  </si>
  <si>
    <t>/api/task-progress/{taskId}/logs</t>
  </si>
  <si>
    <t>Lấy lịch sử cập nhật tiến độ của task.</t>
  </si>
  <si>
    <t>[{"logId":1,"taskId":14,"progress":35,"note":"API smoke progress","risk":"LOW","createdAt":null}]</t>
  </si>
  <si>
    <t>TaskRequiredSkills</t>
  </si>
  <si>
    <t>/api/TaskRequiredSkills/{taskId}</t>
  </si>
  <si>
    <t>Lấy danh sách kỹ năng bắt buộc của task.</t>
  </si>
  <si>
    <t>Task Detail Modal / Create/Edit Task</t>
  </si>
  <si>
    <t>[{"id":1,"skillId":1,"skillName":"C#"},{"id":2,"skillId":5,"skillName":"Testing"}]</t>
  </si>
  <si>
    <t>Gán lại danh sách kỹ năng bắt buộc của task.</t>
  </si>
  <si>
    <t>TaskSkillsRequest
skillIds: array&lt;integer(int32)&gt;?</t>
  </si>
  <si>
    <t>Path: {"taskId":8}
Body: {"skillIds":[1,5]}</t>
  </si>
  <si>
    <t>{"message":"Task required skills updated successfully."}</t>
  </si>
  <si>
    <t>Tasks</t>
  </si>
  <si>
    <t>/api/Tasks</t>
  </si>
  <si>
    <t>Lấy danh sách task theo projectId.</t>
  </si>
  <si>
    <t>Kanban Board / Task Detail / Create Task</t>
  </si>
  <si>
    <t>projectId: integer(int32)</t>
  </si>
  <si>
    <t>Query: {"projectId":1}</t>
  </si>
  <si>
    <t>[{"taskId":8,"projectId":1,"title":"Testing &amp; QA","description":"Unit test, integration test, performance test","status":"Todo","priority":"Medium","deadline":"2026-07-28","estimatedTime":null,"aiEstimatedTime":null,"actualTime":null,"progress":0,"riskLevel":"LOW","aiSummary":null,"createdAt":"2026-07-20T06:59:19.7703Z","completedAt":null,"createdBy":4,"isLate":false,"daysLateOrEarly":null,"assignees":[{"userId":4,"userName":"Pham Thi Dung","avatar":null}],"dependencies":[],"requiredSkillIds":[]},{"taskId":7,"projectId":1,"title":"Frontend – Product List Page","description":"Trang danh sách sản phẩm với filter và sort","status":"Todo","priority":"Medium","deadline":"2026-07-12","estimatedTime":null,"aiEstimatedTime":null,"actualTime":null,"progress":0,"riskLevel":"LOW","aiSummary":null,"createdAt":"2026-07-20T06:59:19.770299Z","completedAt":null,"createdBy":1,"isLate":false,"daysLateOrEarly":null,"assignees":[{"userId":2,"userName":"Tran Thi Binh","avatar":null},{"userId":5,"userName":"Hoang Minh Duc","avatar":null}],"dependencies":[],"requiredSkillIds":[]},{"taskId":6,"projectId":1,"title":"Payment Integration","description":"Tích hợp VNPay và Momo","status":"Todo","priority":"High","deadline":"2026-07-22","estimatedTime":null,"aiEstimatedTime":null,"actualTime":null,"progress":0,"riskLevel":"LOW","aiSummary":null,"createdAt":"2026-07-20T06:59:19.770298Z","completedAt":null,"createdBy":1,"isLate":false,"daysLateOrEarly":null,"assignees":[{"userId":3,"userName":"Le Van Cuong","avatar":null}],"dependencies":[],"requiredSkillIds":[]},{"taskId":5,"projectId":1,"title":"Shopping Cart Feature","description":"Giỏ hàng, coupon, tính tổng giá","status":"InProgress","priority":"Medium","deadline":"2026-07-15","estimatedTime":null,"aiEstimatedTime":null,"actualTime":null,"progress":20,"riskLevel":"LOW","aiSummary":null,"createdAt":"2026-07-20T06:59:19.770298Z","completedAt":null,"createdBy":1,"isLate":false,"daysLateOrEarly":null,"assignees":[{"userId":2,"userName":"Tran Thi Binh","avatar":null}],"dependencies":[],"requiredSkillIds":[]},{"taskId":4,"projectId":1,"title":"Build Product Catalog API","description":"CRUD sản phẩm, danh mục, tìm kiếm, phân trang","status":"InProgress","priority":"Medium","deadline":"2026-07-08","estimatedTime":null,"aiEstimatedTime":null,"actualTime":null,"progress":55,"riskLevel":"MEDIUM","aiSummary":null,"createdAt":"2026-07-20T06:59:19.770297Z","completedAt":null,"createdBy":1,"isLate":false,"daysLateOrEarly":null,"assignees":[{"userId":3,"userName":"Le Van Cuong","avatar":null},{"userId":1,"userName":"Nguyen Van An","avatar":null}],"dependencies":[],"requiredSkillIds":[]},{"taskId":3,"projectId":1,"title":"Implement User Authentication","description":"JWT, refresh token, Google OAuth","status":"Done","priority":"High","deadline":"2026-07-05","estimatedTime":null,"aiEstimatedTime":null,"actualTime":20,"progress":100,"riskLevel":"LOW","aiSummary":null,"createdAt":"2026-07-20T06:59:19.770296Z","completedAt":"2026-07-20T06:59:19.770297Z","createdBy":1,"isLate":true,"daysLateOrEarly":-15,"assignees":[{"userId":3,"userName":"Le Van Cuong","avatar":null},{"userId":1,"userName":"Nguyen Van An","avatar":null}],"dependencies":[],"requiredSkillIds":[]},{"taskId":2,"projectId":1,"title":"Design Database Schema","description":"Thiết kế ERD, tạo migrations cho toàn bộ module","status":"Done","priority":"High","deadline":"2026-06-28","estimatedTime":null,"aiEstimatedTime":null,"actualTime":32,"progress":100,"riskLevel":"LOW","aiSummary":null,"createdAt":"2026-07-20T06:59:19.770036Z","completedAt":"2026-07-20T06:59:19.770295Z","createdBy":1,"isLate":true,"daysLateOrEarly":-22,"assignees":[{"userId":2,"userName":"Tran Thi Binh","avatar":null},{"userId":1,"userName":"Nguyen Van An","avatar":null}],"dependencies":[],"requiredSkillIds":[]},{"taskId":1,"projectId":1,"title":"Setup CI/CD Pipeline","description":"Cài đặt GitHub Actions, Docker, deployment workflow","status":"Done","priority":"High","deadline":"2026-06-15","estimatedTime":null,"aiEstimatedTime":null,"actualTime":24,"progress":100,"riskLevel":"LOW","aiSummary":null,"createdAt":"2026-07-20T06:59:19.769228Z","completedAt":"2026-07-20T06:59:19.769859Z","createdBy":1,"isLate":true,"daysLateOrEarly":-35,"assignees":[{"userId":3,"userName":"Le Van Cuong","avatar":null},{"userId":2,"userName":"Tran Thi Binh","avatar":null}],"dependencies":[],"requiredSkillIds":[]}]</t>
  </si>
  <si>
    <t>Tạo task mới trong dự án.</t>
  </si>
  <si>
    <t>CreateTaskRequest
projectId: integer(int32); title: string?; description: string?; priority: string?; deadline: string?; difficulty: integer(int32)?</t>
  </si>
  <si>
    <t>Body: {"projectId":3,"title":"API Smoke Task 20260720065927782","description":"Ephemeral InMemory task","priority":"Medium","deadline":"2026-12-20","difficulty":3}</t>
  </si>
  <si>
    <t>{"taskId":14,"projectId":3,"title":"API Smoke Task 20260720065927782","description":"Ephemeral InMemory task","status":"Todo","priority":"Medium","deadline":"2026-12-20","estimatedTime":null,"aiEstimatedTime":null,"actualTime":null,"progress":0,"riskLevel":"LOW","aiSummary":null,"createdAt":"2026-07-20T06:59:29.82531Z","completedAt":null,"createdBy":1,"isLate":false,"daysLateOrEarly":null,"assignees":[],"dependencies":[],"requiredSkillIds":[]}</t>
  </si>
  <si>
    <t>/api/Tasks/{id}</t>
  </si>
  <si>
    <t>Xóa task.</t>
  </si>
  <si>
    <t>Path: {"id":14}</t>
  </si>
  <si>
    <t>Lấy chi tiết task, assignee, dependency và skills.</t>
  </si>
  <si>
    <t>{"taskId":14,"projectId":3,"title":"API Smoke Task 20260720065927782","description":"Ephemeral InMemory task","status":"Todo","priority":"Medium","deadline":"2026-12-20","estimatedTime":null,"aiEstimatedTime":null,"actualTime":null,"progress":35,"riskLevel":"MEDIUM","aiSummary":null,"createdAt":"2026-07-20T06:59:29.82531Z","completedAt":null,"createdBy":1,"isLate":false,"daysLateOrEarly":null,"assignees":[],"dependencies":[{"dependencyId":1,"dependsOnTaskId":4,"dependsOnTaskTitle":"Build Product Catalog API","status":"InProgress"}],"requiredSkillIds":[]}</t>
  </si>
  <si>
    <t>Cập nhật nội dung, trạng thái và thời gian task.</t>
  </si>
  <si>
    <t>UpdateTaskRequest
title: string?; description: string?; status: string?; priority: string?; deadline: string?; estimatedTime: integer(int32)?; actualTime: integer(int32)?; difficulty: integer(int32)?</t>
  </si>
  <si>
    <t>Path: {"id":14}
Body: {"title":"Updated API Smoke Task","description":"Updated by smoke test","status":"InProgress","priority":"High","deadline":"2026-12-20","estimatedTime":8,"actualTime":2,"difficulty":4}</t>
  </si>
  <si>
    <t>/api/Tasks/{id}/dependencies</t>
  </si>
  <si>
    <t>Thêm dependency cho task.</t>
  </si>
  <si>
    <t>AddDependencyRequest
dependsOnTaskId: integer(int32)</t>
  </si>
  <si>
    <t>Path: {"id":14}
Body: {"dependsOnTaskId":4}</t>
  </si>
  <si>
    <t>{"success":true}</t>
  </si>
  <si>
    <t>/api/Tasks/{id}/dependencies/{dependencyId}</t>
  </si>
  <si>
    <t>Xóa dependency của task.</t>
  </si>
  <si>
    <t>Task Detail → Dependencies</t>
  </si>
  <si>
    <t>id: integer(int32) (required); dependencyId: integer(int32) (required)</t>
  </si>
  <si>
    <t>Path: {"id":14,"dependencyId":1}</t>
  </si>
  <si>
    <t>200 JSON xác nhận xóa dependency.</t>
  </si>
  <si>
    <t>/api/Tasks/{id}/estimate</t>
  </si>
  <si>
    <t>Đề xuất thời gian ước lượng cho task.</t>
  </si>
  <si>
    <t>{"taskId":14,"projectId":3,"title":"API Smoke Task 20260720065927782","description":"Ephemeral InMemory task","status":"Todo","priority":"Medium","deadline":"2026-12-20","estimatedTime":null,"aiEstimatedTime":1,"actualTime":null,"progress":35,"riskLevel":"MEDIUM","aiSummary":null,"createdAt":"2026-07-20T06:59:29.82531Z","completedAt":null,"createdBy":1,"isLate":false,"daysLateOrEarly":null,"assignees":[],"dependencies":[{"dependencyId":1,"dependsOnTaskId":4,"dependsOnTaskTitle":"Build Product Catalog API","status":"InProgress"}],"requiredSkillIds":[]}</t>
  </si>
  <si>
    <t>/api/Tasks/{id}/progress</t>
  </si>
  <si>
    <t>Cập nhật progress, risk, status và actual time.</t>
  </si>
  <si>
    <t>UpdateProgressRequest
status: string?; progress: integer(int32)?; riskLevel: string?; actualTime: integer(int32)?</t>
  </si>
  <si>
    <t>Path: {"id":14}
Body: {"status":"InProgress","progress":40,"riskLevel":"LOW","actualTime":2}</t>
  </si>
  <si>
    <t>/api/Tasks/my</t>
  </si>
  <si>
    <t>Lấy các task được giao cho người dùng hiện tại.</t>
  </si>
  <si>
    <t>[{"taskId":10,"projectId":2,"title":"Wireframes &amp; Prototype","description":"Thiết kế wireframe toàn bộ flow trên Figma","status":"Done","priority":"High","deadline":"2026-06-28","estimatedTime":null,"aiEstimatedTime":null,"actualTime":24,"progress":100,"riskLevel":"LOW","aiSummary":null,"createdAt":"2026-07-20T06:59:19.852086Z","completedAt":"2026-07-20T06:59:19.852087Z","createdBy":1,"isLate":true,"daysLateOrEarly":-22,"assignees":[{"userId":1,"userName":"Nguyen Van An","avatar":null},{"userId":5,"userName":"Hoang Minh Duc","avatar":null}],"dependencies":[],"requiredSkillIds":[]},{"taskId":4,"projectId":1,"title":"Build Product Catalog API","description":"CRUD sản phẩm, danh mục, tìm kiếm, phân trang","status":"InProgress","priority":"Medium","deadline":"2026-07-08","estimatedTime":null,"aiEstimatedTime":null,"actualTime":null,"progress":55,"riskLevel":"MEDIUM","aiSummary":null,"createdAt":"2026-07-20T06:59:19.770297Z","completedAt":null,"createdBy":1,"isLate":false,"daysLateOrEarly":null,"assignees":[{"userId":3,"userName":"Le Van Cuong","avatar":null},{"userId":1,"userName":"Nguyen Van An","avatar":null}],"dependencies":[],"requiredSkillIds":[]},{"taskId":3,"projectId":1,"title":"Implement User Authentication","description":"JWT, refresh token, Google OAuth","status":"Done","priority":"High","deadline":"2026-07-05","estimatedTime":null,"aiEstimatedTime":null,"actualTime":20,"progress":100,"riskLevel":"LOW","aiSummary":null,"createdAt":"2026-07-20T06:59:19.770296Z","completedAt":"2026-07-20T06:59:19.770297Z","createdBy":1,"isLate":true,"daysLateOrEarly":-15,"assignees":[{"userId":3,"userName":"Le Van Cuong","avatar":null},{"userId":1,"userName":"Nguyen Van An","avatar":null}],"dependencies":[],"requiredSkillIds":[]},{"taskId":2,"projectId":1,"title":"Design Database Schema","description":"Thiết kế ERD, tạo migrations cho toàn bộ module","status":"Done","priority":"High","deadline":"2026-06-28","estimatedTime":null,"aiEstimatedTime":null,"actualTime":32,"progress":100,"riskLevel":"LOW","aiSummary":null,"createdAt":"2026-07-20T06:59:19.770036Z","completedAt":"2026-07-20T06:59:19.770295Z","createdBy":1,"isLate":true,"daysLateOrEarly":-22,"assignees":[{"userId":2,"userName":"Tran Thi Binh","avatar":null},{"userId":1,"userName":"Nguyen Van An","avatar":null}],"dependencies":[],"requiredSkillIds":[]}]</t>
  </si>
  <si>
    <t>/api/Tasks/project/{projectId}/dependency-graph</t>
  </si>
  <si>
    <t>Lấy đồ thị dependency của dự án.</t>
  </si>
  <si>
    <t>{"nodes":[{"id":"8","title":"Testing &amp; QA","status":"Todo"},{"id":"7","title":"Frontend – Product List Page","status":"Todo"},{"id":"6","title":"Payment Integration","status":"Todo"},{"id":"5","title":"Shopping Cart Feature","status":"InProgress"},{"id":"4","title":"Build Product Catalog API","status":"InProgress"},{"id":"3","title":"Implement User Authentication","status":"Done"},{"id":"2","title":"Design Database Schema","status":"Done"},{"id":"1","title":"Setup CI/CD Pipeline","status":"Done"}],"edges":[]}</t>
  </si>
  <si>
    <t>/api/Tasks/template-csv</t>
  </si>
  <si>
    <t>Tải file CSV mẫu để nhập task.</t>
  </si>
  <si>
    <t>Create Task / Import Tasks</t>
  </si>
  <si>
    <t>200 text/csv file.</t>
  </si>
  <si>
    <t>﻿Title,Description,Priority,EstimatedTime,Deadline
Task mau 1,Mo ta task mau,High,4,2023-12-31
Task mau 2,Mo ta khac,Medium,8,</t>
  </si>
  <si>
    <t>Teams</t>
  </si>
  <si>
    <t>/api/Teams</t>
  </si>
  <si>
    <t>Lấy toàn bộ team.</t>
  </si>
  <si>
    <t>Team Management / Team Detail</t>
  </si>
  <si>
    <t>[{"teamId":2,"name":"Beta Team","description":"Frontend &amp; mobile team","createdBy":1,"creatorName":"Nguyen Van An","members":[{"id":7,"teamId":2,"userId":2,"userName":"Tran Thi Binh","userEmail":"binh@taskgenie.dev","role":"MEMBER"},{"id":6,"teamId":2,"userId":5,"userName":"Hoang Minh Duc","userEmail":"duc@taskgenie.dev","role":"MEMBER"},{"id":5,"teamId":2,"userId":1,"userName":"Nguyen Van An","userEmail":"an@taskgenie.dev","role":"LEADER"}]},{"teamId":1,"name":"Alpha Team","description":"Backend &amp; fullstack team","createdBy":1,"creatorName":"Nguyen Van An","members":[{"id":4,"teamId":1,"userId":4,"userName":"Pham Thi Dung","userEmail":"dung@taskgenie.dev","role":"MEMBER"},{"id":3,"teamId":1,"userId":3,"userName":"Le Van Cuong","userEmail":"cuong@taskgenie.dev","role":"MEMBER"},{"id":2,"teamId":1,"userId":2,"userName":"Tran Thi Binh","userEmail":"binh@taskgenie.dev","role":"MEMBER"},{"id":1,"teamId":1,"userId":1,"userName":"Nguyen Van An","userEmail":"an@taskgenie.dev","role":"LEADER"}]},{"teamId":3,"name":"Team Project: API Smoke Project 20260720065927782","description":"Team for project API Smoke Project 20260720065927782","createdBy":1,"creatorName":"Nguyen Van An","members":[{"id":8,"teamId":3,"userId":1,"userName":"Nguyen Van An","userEmail":"an@taskgenie.dev","role":"LEADER"},{"id":10,"teamId":3,"userId":2,"userName":"Tran Thi Binh","userEmail":"binh@taskgenie.dev","role":"MEMBER"}]},{"teamId":4,"name":"API Smoke Team 20260720065927782","description":"Ephemeral InMemory team","createdBy":1,"creatorName":"Nguyen Van An","members":[{"id":9,"teamId":4,"userId":1,"userName":"Nguyen Van An","userEmail":"an@taskgenie.dev","role":"LEADER"},{"id":11,"teamId":4,"userId":2,"userName":"Tran Thi Binh","userEmail":"binh@taskgenie.dev","role":"MEMBER"}]}]</t>
  </si>
  <si>
    <t>Tạo team mới và leader ban đầu.</t>
  </si>
  <si>
    <t>CreateTeamRequest
name: string?; description: string?; createdBy: integer(int32)</t>
  </si>
  <si>
    <t>Body: {"name":"API Smoke Team 20260720065927782","description":"Ephemeral InMemory team","createdBy":1}</t>
  </si>
  <si>
    <t>{"teamId":4,"name":"API Smoke Team 20260720065927782","description":"Ephemeral InMemory team","createdBy":1,"creatorName":"Nguyen Van An","members":[{"id":9,"teamId":4,"userId":1,"userName":"Nguyen Van An","userEmail":"an@taskgenie.dev","role":"LEADER"}]}</t>
  </si>
  <si>
    <t>/api/Teams/{id}</t>
  </si>
  <si>
    <t>Xóa team.</t>
  </si>
  <si>
    <t>Path: {"id":4}</t>
  </si>
  <si>
    <t>Lấy chi tiết team và thành viên.</t>
  </si>
  <si>
    <t>{"teamId":4,"name":"API Smoke Team 20260720065927782","description":"Ephemeral InMemory team","createdBy":1,"creatorName":"Nguyen Van An","members":[{"id":9,"teamId":4,"userId":1,"userName":"Nguyen Van An","userEmail":"an@taskgenie.dev","role":"LEADER"},{"id":11,"teamId":4,"userId":2,"userName":"Tran Thi Binh","userEmail":"binh@taskgenie.dev","role":"MEMBER"}]}</t>
  </si>
  <si>
    <t>/api/Teams/{id}/members</t>
  </si>
  <si>
    <t>Thêm thành viên trực tiếp vào team.</t>
  </si>
  <si>
    <t>AddTeamMemberRequest
userId: integer(int32); role: string?</t>
  </si>
  <si>
    <t>Path: {"id":4}
Body: {"userId":2,"role":"MEMBER"}</t>
  </si>
  <si>
    <t>{"message":"Member added to team."}</t>
  </si>
  <si>
    <t>/api/Teams/members/{memberId}</t>
  </si>
  <si>
    <t>Xóa thành viên khỏi team.</t>
  </si>
  <si>
    <t>memberId: integer(int32) (required)</t>
  </si>
  <si>
    <t>Path: {"memberId":11}</t>
  </si>
  <si>
    <t>/api/Teams/my</t>
  </si>
  <si>
    <t>Lấy các team của người dùng hiện tại.</t>
  </si>
  <si>
    <t>Users</t>
  </si>
  <si>
    <t>/api/Users/{id}</t>
  </si>
  <si>
    <t>Lấy hồ sơ người dùng.</t>
  </si>
  <si>
    <t>User Profile / Team Management / Comment Editor</t>
  </si>
  <si>
    <t>{"userId":1,"name":"Nguyen Van An","email":"an@taskgenie.dev","avatar":null,"role":"NORMAL_USER","createdAt":"2026-07-20T06:59:19.281433Z"}</t>
  </si>
  <si>
    <t>/api/Users/{id}/avatar</t>
  </si>
  <si>
    <t>Upload avatar lên Cloudinary và cập nhật hồ sơ.</t>
  </si>
  <si>
    <t>multipart/form-data: file (binary); folder? (query)</t>
  </si>
  <si>
    <t>Path: {"id":1}
Body: {"file":"api-smoke-20260720065927782.png","contentType":"image/png","sizeBytes":68}</t>
  </si>
  <si>
    <t>200 JSON { avatarUrl } và cập nhật hồ sơ.</t>
  </si>
  <si>
    <t>{"avatarUrl":"https://res.cloudinary.com/dqu61fiui/image/upload/v1784530790/taskgenie/avatars/i0k0h7blaxeawni9ig8u.png"}</t>
  </si>
  <si>
    <t>Cloudinary upload thật; asset test đã cleanup HTTP 200.</t>
  </si>
  <si>
    <t>/api/Users/{id}/change-password</t>
  </si>
  <si>
    <t>Đổi mật khẩu người dùng.</t>
  </si>
  <si>
    <t>ChangePasswordRequest
currentPassword: string?; newPassword: string?</t>
  </si>
  <si>
    <t>Path: {"id":1}
Body: {"currentPassword":"&lt;redacted-test-value&gt;","newPassword":"&lt;redacted-test-value&gt;"}</t>
  </si>
  <si>
    <t>{"message":"Password changed successfully."}</t>
  </si>
  <si>
    <t>/api/Users/{id}/profile</t>
  </si>
  <si>
    <t>Cập nhật tên và avatar người dùng.</t>
  </si>
  <si>
    <t>UpdateProfileRequest
name: string?; avatar: string?</t>
  </si>
  <si>
    <t>Path: {"id":1}
Body: {"name":"API Smoke User Updated","avatar":null}</t>
  </si>
  <si>
    <t>{"userId":1,"name":"API Smoke User Updated","email":"an@taskgenie.dev","avatar":"https://res.cloudinary.com/dqu61fiui/image/upload/v1784530790/taskgenie/avatars/i0k0h7blaxeawni9ig8u.png","role":"NORMAL_USER","createdAt":"2026-07-20T06:59:19.281433Z"}</t>
  </si>
  <si>
    <t>/api/Users/search</t>
  </si>
  <si>
    <t>Tìm người dùng theo email.</t>
  </si>
  <si>
    <t>email: string</t>
  </si>
  <si>
    <t>Query: {"email":"binh@taskgenie.dev"}</t>
  </si>
  <si>
    <t>{"userId":2,"name":"Tran Thi Binh","email":"binh@taskgenie.dev","avatar":null}</t>
  </si>
  <si>
    <t>/api/Users/upload-image</t>
  </si>
  <si>
    <t>Upload ảnh dùng cho comment/evidence lên Cloudinary.</t>
  </si>
  <si>
    <t>folder: string</t>
  </si>
  <si>
    <t>Query: {"folder":"taskgenie/api-smoke-20260720065927782"}
Body: {"file":"api-smoke-20260720065927782.png","contentType":"image/png","sizeBytes":68}</t>
  </si>
  <si>
    <t>200 JSON { imageUrl }.</t>
  </si>
  <si>
    <t>{"imageUrl":"https://res.cloudinary.com/dqu61fiui/image/upload/v1784530791/taskgenie/api-smoke-20260720065927782/jzgzayriuxhbd9stvpc5.png"}</t>
  </si>
  <si>
    <t>UserScores</t>
  </si>
  <si>
    <t>/api/user-scores/manual</t>
  </si>
  <si>
    <t>Cộng hoặc trừ điểm thủ công kèm lý do.</t>
  </si>
  <si>
    <t>Evaluation Center / Leaderboard / Reports</t>
  </si>
  <si>
    <t>ApplyManualScoreRequest
userId: integer(int32); type: string?; amount: integer(int32); reason: string?; taskId: integer(int32)?; projectId: integer(int32)?</t>
  </si>
  <si>
    <t>Body: {"userId":1,"type":"REWARD","amount":5,"reason":"API smoke test","taskId":8,"projectId":1}</t>
  </si>
  <si>
    <t>{"id":10,"userId":1,"userName":"Nguyen Van An","taskId":8,"taskTitle":null,"projectId":1,"projectName":null,"type":"REWARD","amount":5,"reason":"API smoke test","createdAt":"2026-07-20T06:59:30.693218Z"}</t>
  </si>
  <si>
    <t>/api/user-scores/project/{projectId}/leaderboard</t>
  </si>
  <si>
    <t>Lấy bảng xếp hạng thành viên trong dự án.</t>
  </si>
  <si>
    <t>{"projectId":3,"projectName":"API Smoke Project 20260720065927782","members":[]}</t>
  </si>
  <si>
    <t>/api/user-scores/user/{userId}</t>
  </si>
  <si>
    <t>Lấy lịch sử điểm thưởng/phạt của người dùng.</t>
  </si>
  <si>
    <t>[{"id":10,"userId":1,"userName":"Nguyen Van An","taskId":8,"taskTitle":"Testing &amp; QA","projectId":1,"projectName":"E-Commerce Platform","type":"REWARD","amount":5,"reason":"API smoke test","createdAt":"2026-07-20T06:59:30.693218Z"},{"id":8,"userId":1,"userName":"Nguyen Van An","taskId":10,"taskTitle":"Wireframes &amp; Prototype","projectId":2,"projectName":"Mobile App Redesign","type":"REWARD","amount":30,"reason":"Task 'Wireframes &amp; Prototype' hoàn thành đúng hạn.","createdAt":"2026-07-20T06:59:19.905073Z"},{"id":5,"userId":1,"userName":"Nguyen Van An","taskId":3,"taskTitle":"Implement User Authentication","projectId":1,"projectName":"E-Commerce Platform","type":"REWARD","amount":51,"reason":"Task 'Implement User Authentication' hoàn thành sớm 7 ngày (+28% bonus).","createdAt":"2026-07-20T06:59:19.904831Z"},{"id":3,"userId":1,"userName":"Nguyen Van An","taskId":2,"taskTitle":"Design Database Schema","projectId":1,"projectName":"E-Commerce Platform","type":"REWARD","amount":40,"reason":"Task 'Design Database Schema' hoàn thành đúng hạn.","createdAt":"2026-07-20T06:59:19.904267Z"}]</t>
  </si>
  <si>
    <t>/api/user-scores/user/{userId}/summary</t>
  </si>
  <si>
    <t>Lấy tổng hợp điểm và hiệu suất người dùng.</t>
  </si>
  <si>
    <t>{"userId":1,"userName":"Nguyen Van An","avatar":null,"totalScore":126,"totalRewardPoints":126,"totalPenaltyPoints":0,"level":"Silver","levelMinScore":100,"levelMaxScore":299,"progressToNextLevel":13}</t>
  </si>
  <si>
    <t>API TEST RESULTS
Actual HTTP evidence cho từng operation; full smoke trên InMemory + external provider checks</t>
  </si>
  <si>
    <t>TC ID</t>
  </si>
  <si>
    <t>Scenario</t>
  </si>
  <si>
    <t>Expected</t>
  </si>
  <si>
    <t>Actual</t>
  </si>
  <si>
    <t>Result</t>
  </si>
  <si>
    <t>Evidence / Output</t>
  </si>
  <si>
    <t>Defect</t>
  </si>
  <si>
    <t>TC-API-001</t>
  </si>
  <si>
    <t>Happy-path với Bearer JWT, seed data và resource tạm trên EF Core InMemory</t>
  </si>
  <si>
    <t/>
  </si>
  <si>
    <t>TC-API-002</t>
  </si>
  <si>
    <t>TC-API-003</t>
  </si>
  <si>
    <t>TC-API-004</t>
  </si>
  <si>
    <t>TC-API-005</t>
  </si>
  <si>
    <t>TC-API-006</t>
  </si>
  <si>
    <t>TC-API-007</t>
  </si>
  <si>
    <t>TC-API-008</t>
  </si>
  <si>
    <t>TC-API-009</t>
  </si>
  <si>
    <t>TC-API-010</t>
  </si>
  <si>
    <t>TC-API-011</t>
  </si>
  <si>
    <t>TC-API-012</t>
  </si>
  <si>
    <t>TC-API-013</t>
  </si>
  <si>
    <t>TC-API-014</t>
  </si>
  <si>
    <t>Negative case: gửi Google ID token không hợp lệ; mong đợi 401</t>
  </si>
  <si>
    <t>TC-API-015</t>
  </si>
  <si>
    <t>TC-API-016</t>
  </si>
  <si>
    <t>Logout JWT và chạy kiểm tra bổ sung dùng lại token cũ phải trả 401</t>
  </si>
  <si>
    <t>TC-API-017</t>
  </si>
  <si>
    <t>TC-API-018</t>
  </si>
  <si>
    <t>TC-API-019</t>
  </si>
  <si>
    <t>TC-API-020</t>
  </si>
  <si>
    <t>TC-API-021</t>
  </si>
  <si>
    <t>TC-API-022</t>
  </si>
  <si>
    <t>TC-API-023</t>
  </si>
  <si>
    <t>TC-API-024</t>
  </si>
  <si>
    <t>TC-API-025</t>
  </si>
  <si>
    <t>TC-API-026</t>
  </si>
  <si>
    <t>TC-API-027</t>
  </si>
  <si>
    <t>TC-API-028</t>
  </si>
  <si>
    <t>TC-API-029</t>
  </si>
  <si>
    <t>TC-API-030</t>
  </si>
  <si>
    <t>TC-API-031</t>
  </si>
  <si>
    <t>TC-API-032</t>
  </si>
  <si>
    <t>TC-API-033</t>
  </si>
  <si>
    <t>TC-API-034</t>
  </si>
  <si>
    <t>TC-API-035</t>
  </si>
  <si>
    <t>TC-API-036</t>
  </si>
  <si>
    <t>TC-API-037</t>
  </si>
  <si>
    <t>TC-API-038</t>
  </si>
  <si>
    <t>TC-API-039</t>
  </si>
  <si>
    <t>TC-API-040</t>
  </si>
  <si>
    <t>TC-API-041</t>
  </si>
  <si>
    <t>TC-API-042</t>
  </si>
  <si>
    <t>TC-API-043</t>
  </si>
  <si>
    <t>TC-API-044</t>
  </si>
  <si>
    <t>TC-API-045</t>
  </si>
  <si>
    <t>TC-API-046</t>
  </si>
  <si>
    <t>TC-API-047</t>
  </si>
  <si>
    <t>TC-API-048</t>
  </si>
  <si>
    <t>TC-API-049</t>
  </si>
  <si>
    <t>TC-API-050</t>
  </si>
  <si>
    <t>TC-API-051</t>
  </si>
  <si>
    <t>TC-API-052</t>
  </si>
  <si>
    <t>TC-API-053</t>
  </si>
  <si>
    <t>TC-API-054</t>
  </si>
  <si>
    <t>TC-API-055</t>
  </si>
  <si>
    <t>TC-API-056</t>
  </si>
  <si>
    <t>TC-API-057</t>
  </si>
  <si>
    <t>TC-API-058</t>
  </si>
  <si>
    <t>TC-API-059</t>
  </si>
  <si>
    <t>TC-API-060</t>
  </si>
  <si>
    <t>TC-API-061</t>
  </si>
  <si>
    <t>TC-API-062</t>
  </si>
  <si>
    <t>TC-API-063</t>
  </si>
  <si>
    <t>TC-API-064</t>
  </si>
  <si>
    <t>TC-API-065</t>
  </si>
  <si>
    <t>TC-API-066</t>
  </si>
  <si>
    <t>TC-API-067</t>
  </si>
  <si>
    <t>TC-API-068</t>
  </si>
  <si>
    <t>TC-API-069</t>
  </si>
  <si>
    <t>TC-API-070</t>
  </si>
  <si>
    <t>TC-API-071</t>
  </si>
  <si>
    <t>TC-API-072</t>
  </si>
  <si>
    <t>TC-API-073</t>
  </si>
  <si>
    <t>TC-API-074</t>
  </si>
  <si>
    <t>TC-API-075</t>
  </si>
  <si>
    <t>TC-API-076</t>
  </si>
  <si>
    <t>TC-API-077</t>
  </si>
  <si>
    <t>TC-API-078</t>
  </si>
  <si>
    <t>TC-API-079</t>
  </si>
  <si>
    <t>TC-API-080</t>
  </si>
  <si>
    <t>TC-API-081</t>
  </si>
  <si>
    <t>TC-API-082</t>
  </si>
  <si>
    <t>TC-API-083</t>
  </si>
  <si>
    <t>TC-API-084</t>
  </si>
  <si>
    <t>TC-API-085</t>
  </si>
  <si>
    <t>TC-API-086</t>
  </si>
  <si>
    <t>TC-API-087</t>
  </si>
  <si>
    <t>TC-API-088</t>
  </si>
  <si>
    <t>TC-API-089</t>
  </si>
  <si>
    <t>TC-API-090</t>
  </si>
  <si>
    <t>TC-API-091</t>
  </si>
  <si>
    <t>TC-API-092</t>
  </si>
  <si>
    <t>TC-API-093</t>
  </si>
  <si>
    <t>TC-API-094</t>
  </si>
  <si>
    <t>TC-API-095</t>
  </si>
  <si>
    <t>TC-API-096</t>
  </si>
  <si>
    <t>TC-API-097</t>
  </si>
  <si>
    <t>TC-API-098</t>
  </si>
  <si>
    <t>TC-API-099</t>
  </si>
  <si>
    <t>TC-API-100</t>
  </si>
  <si>
    <t>TC-API-101</t>
  </si>
  <si>
    <t>Upload PNG thật lên Cloudinary, xác nhận URL và cleanup asset</t>
  </si>
  <si>
    <t>TC-API-102</t>
  </si>
  <si>
    <t>TC-API-103</t>
  </si>
  <si>
    <t>TC-API-104</t>
  </si>
  <si>
    <t>TC-API-105</t>
  </si>
  <si>
    <t>TC-API-106</t>
  </si>
  <si>
    <t>TC-API-107</t>
  </si>
  <si>
    <t>TC-API-108</t>
  </si>
  <si>
    <t>TC-API-109</t>
  </si>
  <si>
    <t>DEFECT &amp; QUALITY LOG
Các vấn đề xác nhận trong quá trình full API test và build/test suite</t>
  </si>
  <si>
    <t>Defect ID</t>
  </si>
  <si>
    <t>Category</t>
  </si>
  <si>
    <t>Severity</t>
  </si>
  <si>
    <t>Priority</t>
  </si>
  <si>
    <t>Endpoint / Area</t>
  </si>
  <si>
    <t>Actual Result</t>
  </si>
  <si>
    <t>Expected Result</t>
  </si>
  <si>
    <t>Root Cause / Evidence</t>
  </si>
  <si>
    <t>Recommended Fix</t>
  </si>
  <si>
    <t>Status</t>
  </si>
  <si>
    <t>DEF-API-001</t>
  </si>
  <si>
    <t>API Error Handling</t>
  </si>
  <si>
    <t>P1</t>
  </si>
  <si>
    <t>POST /api/auth/google</t>
  </si>
  <si>
    <t>Invalid token trả HTTP 401 và JSON lỗi an toàn</t>
  </si>
  <si>
    <t>HTTP 401; không trả 500</t>
  </si>
  <si>
    <t>UnauthorizedAccessException đã được middleware map</t>
  </si>
  <si>
    <t>Giữ negative regression test</t>
  </si>
  <si>
    <t>DEF-SEC-001</t>
  </si>
  <si>
    <t>Dependency Security</t>
  </si>
  <si>
    <t>Microsoft.OpenApi</t>
  </si>
  <si>
    <t>Đã nâng 2.4.1 → 2.7.5; vulnerability scan không còn advisory</t>
  </si>
  <si>
    <t>Không có high-severity advisory</t>
  </si>
  <si>
    <t>Package dễ tổn thương đã được thay thế</t>
  </si>
  <si>
    <t>Duy trì dependency scan trong CI</t>
  </si>
  <si>
    <t>OBS-AUTH-001</t>
  </si>
  <si>
    <t>JWT Revocation</t>
  </si>
  <si>
    <t>POST /api/auth/logout</t>
  </si>
  <si>
    <t>Logout 200; token cũ gọi GET /api/Teams/my trả 401</t>
  </si>
  <si>
    <t>Token đã logout phải bị từ chối</t>
  </si>
  <si>
    <t>InMemoryTokenRevocationService kiểm tra JTI</t>
  </si>
  <si>
    <t>Bổ sung integration regression test lâu dài</t>
  </si>
  <si>
    <t>OBS-QLT-001</t>
  </si>
  <si>
    <t>Test Coverage</t>
  </si>
  <si>
    <t>Medium</t>
  </si>
  <si>
    <t>P2</t>
  </si>
  <si>
    <t>Whole solution</t>
  </si>
  <si>
    <t>59/59 automated tests pass; coverage không được tính lại trong lượt smoke này</t>
  </si>
  <si>
    <t>Coverage theo critical use cases</t>
  </si>
  <si>
    <t>Full API smoke không thay thế line/branch coverage</t>
  </si>
  <si>
    <t>Chạy collect coverage trong CI và đặt threshold</t>
  </si>
  <si>
    <t>DEF-SEC-002</t>
  </si>
  <si>
    <t>Secret Management</t>
  </si>
  <si>
    <t>Cloudinary credential</t>
  </si>
  <si>
    <t>Secret cũ từng nằm trong Git history</t>
  </si>
  <si>
    <t>Secret chỉ nằm trong User Secrets/env và đã rotate</t>
  </si>
  <si>
    <t>Credential từng được commit</t>
  </si>
  <si>
    <t>Rotate key; cân nhắc purge Git history trước production</t>
  </si>
  <si>
    <t>OBS-BLD-001</t>
  </si>
  <si>
    <t>Nullable Analysis</t>
  </si>
  <si>
    <t>Low</t>
  </si>
  <si>
    <t>P3</t>
  </si>
  <si>
    <t>OrganizationRepository.cs:43</t>
  </si>
  <si>
    <t>Clean infrastructure build cảnh báo CS8602</t>
  </si>
  <si>
    <t>Build không có nullable warning</t>
  </si>
  <si>
    <t>Có thể dereference giá trị null</t>
  </si>
  <si>
    <t>Thêm null guard hoặc điều chỉnh query projection</t>
  </si>
  <si>
    <t>FRONTEND PAGE MAPPING
Đề xuất vị trí tích hợp API theo module và giao diện hiện có</t>
  </si>
  <si>
    <t>Trang chính</t>
  </si>
  <si>
    <t>Trang phụ / Component</t>
  </si>
  <si>
    <t>Số API</t>
  </si>
  <si>
    <t>Mục đích UI</t>
  </si>
  <si>
    <t>Reports Dashboard</t>
  </si>
  <si>
    <t>Activity Log / Audit Trail</t>
  </si>
  <si>
    <t>Theo dõi lịch sử thao tác và truy vết thay đổi.</t>
  </si>
  <si>
    <t>Administration Center</t>
  </si>
  <si>
    <t>Platform Overview</t>
  </si>
  <si>
    <t>Chỉ dành cho quản trị hệ thống.</t>
  </si>
  <si>
    <t>Core AI Demo Panel</t>
  </si>
  <si>
    <t>Task Detail / Project Dashboard</t>
  </si>
  <si>
    <t>Hiển thị risk score, giải thích, workload và lịch sử AI.</t>
  </si>
  <si>
    <t>Login / Register</t>
  </si>
  <si>
    <t>Authentication Module</t>
  </si>
  <si>
    <t>Đăng ký, đăng nhập, Google OAuth, JWT và logout/revocation.</t>
  </si>
  <si>
    <t>Evaluation Center</t>
  </si>
  <si>
    <t>User Performance Detail</t>
  </si>
  <si>
    <t>Đánh giá thành viên và năng lực làm việc.</t>
  </si>
  <si>
    <t>Project Detail</t>
  </si>
  <si>
    <t>Nút xuất báo cáo PDF/XLSX.</t>
  </si>
  <si>
    <t>Team Management</t>
  </si>
  <si>
    <t>Invitations Inbox</t>
  </si>
  <si>
    <t>Mời và xử lý lời mời vào nhóm.</t>
  </si>
  <si>
    <t>Meetings / Calendar</t>
  </si>
  <si>
    <t>Quản lý cuộc họp và người tham dự.</t>
  </si>
  <si>
    <t>Header Notification Center</t>
  </si>
  <si>
    <t>Notifications Page</t>
  </si>
  <si>
    <t>Thông báo, số chưa đọc và thao tác đã đọc.</t>
  </si>
  <si>
    <t>Organization Detail</t>
  </si>
  <si>
    <t>Quản lý tổ chức, dự án và đánh giá dự án.</t>
  </si>
  <si>
    <t>Project Management</t>
  </si>
  <si>
    <t>Dashboard / Project Detail</t>
  </si>
  <si>
    <t>CRUD dự án, thành viên, tổng kết và đóng dự án.</t>
  </si>
  <si>
    <t>User Profile</t>
  </si>
  <si>
    <t>Team Management / Skill Matrix</t>
  </si>
  <si>
    <t>Danh mục kỹ năng và kỹ năng người dùng.</t>
  </si>
  <si>
    <t>Task Detail / Assignment Drawer</t>
  </si>
  <si>
    <t>Đề cử, duyệt/từ chối người phù hợp và lịch sử quyết định.</t>
  </si>
  <si>
    <t>Task Detail Modal</t>
  </si>
  <si>
    <t>Comments Tab</t>
  </si>
  <si>
    <t>Trao đổi, ảnh minh chứng và lịch sử bình luận.</t>
  </si>
  <si>
    <t>Evidence Tab</t>
  </si>
  <si>
    <t>Lưu URL/file evidence phục vụ đánh giá và AI.</t>
  </si>
  <si>
    <t>Kanban Board</t>
  </si>
  <si>
    <t>Task Detail / Progress Log</t>
  </si>
  <si>
    <t>Cập nhật và xem log tiến độ.</t>
  </si>
  <si>
    <t>Create/Edit Task</t>
  </si>
  <si>
    <t>Khai báo kỹ năng bắt buộc của công việc.</t>
  </si>
  <si>
    <t>Task Detail / Create Task</t>
  </si>
  <si>
    <t>CRUD task, tiến độ, dependency và ước lượng AI.</t>
  </si>
  <si>
    <t>Team Detail</t>
  </si>
  <si>
    <t>CRUD nhóm và thành viên.</t>
  </si>
  <si>
    <t>Leaderboard / Reports</t>
  </si>
  <si>
    <t>Điểm thưởng/phạt, tổng hợp và bảng xếp hạng.</t>
  </si>
  <si>
    <t>Team Management / Comment Editor</t>
  </si>
  <si>
    <t>Hồ sơ, mật khẩu, avatar và tìm kiếm người dùng.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</si>
</sst>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27">
    <font>
      <sz val="11"/>
      <name val="Carlito"/>
      <charset val="134"/>
    </font>
    <font>
      <b/>
      <sz val="11"/>
      <color rgb="FFFFFFFF"/>
      <name val="Carlito"/>
      <charset val="134"/>
    </font>
    <font>
      <b/>
      <sz val="11"/>
      <color rgb="FF2563EB"/>
      <name val="Carlito"/>
      <charset val="134"/>
    </font>
    <font>
      <b/>
      <sz val="11"/>
      <color rgb="FF16A34A"/>
      <name val="Carlito"/>
      <charset val="134"/>
    </font>
    <font>
      <b/>
      <sz val="11"/>
      <color rgb="FFDC2626"/>
      <name val="Carlito"/>
      <charset val="134"/>
    </font>
    <font>
      <b/>
      <sz val="11"/>
      <color rgb="FFD97706"/>
      <name val="Carlito"/>
      <charset val="134"/>
    </font>
    <font>
      <b/>
      <sz val="11"/>
      <color rgb="FF0F172A"/>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0F172A"/>
        <bgColor indexed="64"/>
      </patternFill>
    </fill>
    <fill>
      <patternFill patternType="solid">
        <fgColor rgb="FF2563EB"/>
        <bgColor indexed="64"/>
      </patternFill>
    </fill>
    <fill>
      <patternFill patternType="solid">
        <fgColor rgb="FF16A34A"/>
        <bgColor indexed="64"/>
      </patternFill>
    </fill>
    <fill>
      <patternFill patternType="solid">
        <fgColor rgb="FFDC2626"/>
        <bgColor indexed="64"/>
      </patternFill>
    </fill>
    <fill>
      <patternFill patternType="solid">
        <fgColor rgb="FFD97706"/>
        <bgColor indexed="64"/>
      </patternFill>
    </fill>
    <fill>
      <patternFill patternType="solid">
        <fgColor rgb="FFFFFFFF"/>
        <bgColor indexed="64"/>
      </patternFill>
    </fill>
    <fill>
      <patternFill patternType="solid">
        <fgColor rgb="FFF1F5F9"/>
        <bgColor indexed="64"/>
      </patternFill>
    </fill>
    <fill>
      <patternFill patternType="solid">
        <fgColor rgb="FFFEF3C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medium">
        <color rgb="FF2563EB"/>
      </left>
      <right/>
      <top style="medium">
        <color rgb="FF2563EB"/>
      </top>
      <bottom/>
      <diagonal/>
    </border>
    <border>
      <left/>
      <right style="medium">
        <color rgb="FF2563EB"/>
      </right>
      <top style="medium">
        <color rgb="FF2563EB"/>
      </top>
      <bottom/>
      <diagonal/>
    </border>
    <border>
      <left style="medium">
        <color rgb="FF16A34A"/>
      </left>
      <right/>
      <top style="medium">
        <color rgb="FF16A34A"/>
      </top>
      <bottom/>
      <diagonal/>
    </border>
    <border>
      <left/>
      <right style="medium">
        <color rgb="FF16A34A"/>
      </right>
      <top style="medium">
        <color rgb="FF16A34A"/>
      </top>
      <bottom/>
      <diagonal/>
    </border>
    <border>
      <left style="medium">
        <color rgb="FFDC2626"/>
      </left>
      <right/>
      <top style="medium">
        <color rgb="FFDC2626"/>
      </top>
      <bottom/>
      <diagonal/>
    </border>
    <border>
      <left/>
      <right style="medium">
        <color rgb="FFDC2626"/>
      </right>
      <top style="medium">
        <color rgb="FFDC2626"/>
      </top>
      <bottom/>
      <diagonal/>
    </border>
    <border>
      <left style="medium">
        <color rgb="FFD97706"/>
      </left>
      <right/>
      <top style="medium">
        <color rgb="FFD97706"/>
      </top>
      <bottom/>
      <diagonal/>
    </border>
    <border>
      <left/>
      <right style="medium">
        <color rgb="FFD97706"/>
      </right>
      <top style="medium">
        <color rgb="FFD97706"/>
      </top>
      <bottom/>
      <diagonal/>
    </border>
    <border>
      <left style="medium">
        <color rgb="FF2563EB"/>
      </left>
      <right/>
      <top/>
      <bottom style="medium">
        <color rgb="FF2563EB"/>
      </bottom>
      <diagonal/>
    </border>
    <border>
      <left/>
      <right style="medium">
        <color rgb="FF2563EB"/>
      </right>
      <top/>
      <bottom style="medium">
        <color rgb="FF2563EB"/>
      </bottom>
      <diagonal/>
    </border>
    <border>
      <left style="medium">
        <color rgb="FF16A34A"/>
      </left>
      <right/>
      <top/>
      <bottom style="medium">
        <color rgb="FF16A34A"/>
      </bottom>
      <diagonal/>
    </border>
    <border>
      <left/>
      <right style="medium">
        <color rgb="FF16A34A"/>
      </right>
      <top/>
      <bottom style="medium">
        <color rgb="FF16A34A"/>
      </bottom>
      <diagonal/>
    </border>
    <border>
      <left style="medium">
        <color rgb="FFDC2626"/>
      </left>
      <right/>
      <top/>
      <bottom style="medium">
        <color rgb="FFDC2626"/>
      </bottom>
      <diagonal/>
    </border>
    <border>
      <left/>
      <right style="medium">
        <color rgb="FFDC2626"/>
      </right>
      <top/>
      <bottom style="medium">
        <color rgb="FFDC2626"/>
      </bottom>
      <diagonal/>
    </border>
    <border>
      <left style="medium">
        <color rgb="FFD97706"/>
      </left>
      <right/>
      <top/>
      <bottom style="medium">
        <color rgb="FFD97706"/>
      </bottom>
      <diagonal/>
    </border>
    <border>
      <left/>
      <right style="medium">
        <color rgb="FFD97706"/>
      </right>
      <top/>
      <bottom style="medium">
        <color rgb="FFD97706"/>
      </bottom>
      <diagonal/>
    </border>
    <border>
      <left/>
      <right style="thin">
        <color rgb="FFCBD5E1"/>
      </right>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7" applyNumberFormat="0" applyFill="0" applyAlignment="0" applyProtection="0">
      <alignment vertical="center"/>
    </xf>
    <xf numFmtId="0" fontId="14" fillId="0" borderId="27" applyNumberFormat="0" applyFill="0" applyAlignment="0" applyProtection="0">
      <alignment vertical="center"/>
    </xf>
    <xf numFmtId="0" fontId="15" fillId="0" borderId="28" applyNumberFormat="0" applyFill="0" applyAlignment="0" applyProtection="0">
      <alignment vertical="center"/>
    </xf>
    <xf numFmtId="0" fontId="15" fillId="0" borderId="0" applyNumberFormat="0" applyFill="0" applyBorder="0" applyAlignment="0" applyProtection="0">
      <alignment vertical="center"/>
    </xf>
    <xf numFmtId="0" fontId="16" fillId="11" borderId="29" applyNumberFormat="0" applyAlignment="0" applyProtection="0">
      <alignment vertical="center"/>
    </xf>
    <xf numFmtId="0" fontId="17" fillId="12" borderId="30" applyNumberFormat="0" applyAlignment="0" applyProtection="0">
      <alignment vertical="center"/>
    </xf>
    <xf numFmtId="0" fontId="18" fillId="12" borderId="29" applyNumberFormat="0" applyAlignment="0" applyProtection="0">
      <alignment vertical="center"/>
    </xf>
    <xf numFmtId="0" fontId="19" fillId="13" borderId="31" applyNumberFormat="0" applyAlignment="0" applyProtection="0">
      <alignment vertical="center"/>
    </xf>
    <xf numFmtId="0" fontId="20" fillId="0" borderId="32" applyNumberFormat="0" applyFill="0" applyAlignment="0" applyProtection="0">
      <alignment vertical="center"/>
    </xf>
    <xf numFmtId="0" fontId="21" fillId="0" borderId="33"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44">
    <xf numFmtId="0" fontId="0" fillId="0" borderId="0" xfId="0"/>
    <xf numFmtId="0" fontId="1" fillId="2" borderId="0" xfId="0" applyNumberFormat="1" applyFont="1" applyFill="1" applyBorder="1" applyAlignment="1">
      <alignment vertical="center" wrapText="1"/>
    </xf>
    <xf numFmtId="0" fontId="1" fillId="2" borderId="0" xfId="0" applyNumberFormat="1" applyFont="1" applyFill="1" applyBorder="1" applyAlignment="1">
      <alignment wrapText="1"/>
    </xf>
    <xf numFmtId="0" fontId="0" fillId="0" borderId="0" xfId="0" applyNumberFormat="1" applyFont="1" applyFill="1" applyBorder="1" applyAlignment="1">
      <alignment vertical="top" wrapText="1"/>
    </xf>
    <xf numFmtId="1" fontId="0" fillId="0" borderId="0" xfId="0" applyNumberFormat="1" applyFont="1" applyFill="1" applyBorder="1" applyAlignment="1">
      <alignment vertical="top"/>
    </xf>
    <xf numFmtId="0" fontId="0" fillId="0" borderId="0" xfId="0" applyNumberFormat="1" applyFont="1" applyFill="1" applyBorder="1" applyAlignment="1">
      <alignment vertical="top"/>
    </xf>
    <xf numFmtId="1" fontId="0" fillId="0" borderId="0" xfId="0" applyNumberFormat="1" applyFont="1" applyFill="1" applyBorder="1" applyAlignment="1">
      <alignment vertical="top" wrapText="1"/>
    </xf>
    <xf numFmtId="0" fontId="0" fillId="0" borderId="0" xfId="0" applyNumberFormat="1" applyFont="1" applyFill="1" applyBorder="1" applyAlignment="1">
      <alignment vertical="center"/>
    </xf>
    <xf numFmtId="0" fontId="1" fillId="3" borderId="0" xfId="0" applyNumberFormat="1" applyFont="1" applyFill="1" applyBorder="1" applyAlignment="1">
      <alignment horizontal="center" vertical="center"/>
    </xf>
    <xf numFmtId="0" fontId="1" fillId="4" borderId="0" xfId="0" applyNumberFormat="1" applyFont="1" applyFill="1" applyBorder="1" applyAlignment="1">
      <alignment horizontal="center" vertical="center"/>
    </xf>
    <xf numFmtId="0" fontId="1" fillId="5" borderId="0" xfId="0" applyNumberFormat="1" applyFont="1" applyFill="1" applyBorder="1" applyAlignment="1">
      <alignment horizontal="center" vertical="center"/>
    </xf>
    <xf numFmtId="0" fontId="1" fillId="6" borderId="0" xfId="0" applyNumberFormat="1" applyFont="1" applyFill="1" applyBorder="1" applyAlignment="1">
      <alignment horizontal="center" vertical="center"/>
    </xf>
    <xf numFmtId="0" fontId="2" fillId="7" borderId="1" xfId="0" applyNumberFormat="1" applyFont="1" applyFill="1" applyBorder="1" applyAlignment="1">
      <alignment horizontal="center" vertical="center"/>
    </xf>
    <xf numFmtId="0" fontId="2" fillId="7" borderId="2" xfId="0" applyNumberFormat="1" applyFont="1" applyFill="1" applyBorder="1" applyAlignment="1">
      <alignment horizontal="center" vertical="center"/>
    </xf>
    <xf numFmtId="0" fontId="3" fillId="7" borderId="3" xfId="0" applyNumberFormat="1" applyFont="1" applyFill="1" applyBorder="1" applyAlignment="1">
      <alignment horizontal="center" vertical="center"/>
    </xf>
    <xf numFmtId="0" fontId="3" fillId="7" borderId="4" xfId="0" applyNumberFormat="1" applyFont="1" applyFill="1" applyBorder="1" applyAlignment="1">
      <alignment horizontal="center" vertical="center"/>
    </xf>
    <xf numFmtId="0" fontId="4" fillId="7" borderId="5" xfId="0" applyNumberFormat="1" applyFont="1" applyFill="1" applyBorder="1" applyAlignment="1">
      <alignment horizontal="center" vertical="center"/>
    </xf>
    <xf numFmtId="0" fontId="4" fillId="7" borderId="6" xfId="0" applyNumberFormat="1" applyFont="1" applyFill="1" applyBorder="1" applyAlignment="1">
      <alignment horizontal="center" vertical="center"/>
    </xf>
    <xf numFmtId="176" fontId="5" fillId="7" borderId="7" xfId="0" applyNumberFormat="1" applyFont="1" applyFill="1" applyBorder="1" applyAlignment="1">
      <alignment horizontal="center" vertical="center"/>
    </xf>
    <xf numFmtId="176" fontId="5" fillId="7" borderId="8" xfId="0" applyNumberFormat="1" applyFont="1" applyFill="1" applyBorder="1" applyAlignment="1">
      <alignment horizontal="center" vertical="center"/>
    </xf>
    <xf numFmtId="0" fontId="2" fillId="7" borderId="9" xfId="0" applyNumberFormat="1" applyFont="1" applyFill="1" applyBorder="1" applyAlignment="1">
      <alignment horizontal="center" vertical="center"/>
    </xf>
    <xf numFmtId="0" fontId="2" fillId="7" borderId="10" xfId="0" applyNumberFormat="1" applyFont="1" applyFill="1" applyBorder="1" applyAlignment="1">
      <alignment horizontal="center" vertical="center"/>
    </xf>
    <xf numFmtId="0" fontId="3" fillId="7" borderId="11" xfId="0" applyNumberFormat="1" applyFont="1" applyFill="1" applyBorder="1" applyAlignment="1">
      <alignment horizontal="center" vertical="center"/>
    </xf>
    <xf numFmtId="0" fontId="3" fillId="7" borderId="12" xfId="0" applyNumberFormat="1" applyFont="1" applyFill="1" applyBorder="1" applyAlignment="1">
      <alignment horizontal="center" vertical="center"/>
    </xf>
    <xf numFmtId="0" fontId="4" fillId="7" borderId="13" xfId="0" applyNumberFormat="1" applyFont="1" applyFill="1" applyBorder="1" applyAlignment="1">
      <alignment horizontal="center" vertical="center"/>
    </xf>
    <xf numFmtId="0" fontId="4" fillId="7" borderId="14" xfId="0" applyNumberFormat="1" applyFont="1" applyFill="1" applyBorder="1" applyAlignment="1">
      <alignment horizontal="center" vertical="center"/>
    </xf>
    <xf numFmtId="176" fontId="5" fillId="7" borderId="15" xfId="0" applyNumberFormat="1" applyFont="1" applyFill="1" applyBorder="1" applyAlignment="1">
      <alignment horizontal="center" vertical="center"/>
    </xf>
    <xf numFmtId="176" fontId="5" fillId="7" borderId="16" xfId="0" applyNumberFormat="1" applyFont="1" applyFill="1" applyBorder="1" applyAlignment="1">
      <alignment horizontal="center" vertical="center"/>
    </xf>
    <xf numFmtId="0" fontId="6" fillId="8" borderId="0" xfId="0" applyNumberFormat="1" applyFont="1" applyFill="1" applyBorder="1" applyAlignment="1">
      <alignment vertical="center"/>
    </xf>
    <xf numFmtId="0" fontId="0" fillId="0" borderId="17" xfId="0" applyNumberFormat="1" applyFont="1" applyFill="1" applyBorder="1" applyAlignment="1">
      <alignment vertical="center" wrapText="1"/>
    </xf>
    <xf numFmtId="0" fontId="0" fillId="0" borderId="18" xfId="0" applyNumberFormat="1" applyFont="1" applyFill="1" applyBorder="1" applyAlignment="1">
      <alignment vertical="center" wrapText="1"/>
    </xf>
    <xf numFmtId="0" fontId="0" fillId="0" borderId="19" xfId="0" applyNumberFormat="1" applyFont="1" applyFill="1" applyBorder="1" applyAlignment="1">
      <alignment vertical="center" wrapText="1"/>
    </xf>
    <xf numFmtId="0" fontId="0" fillId="0" borderId="20" xfId="0" applyNumberFormat="1" applyFont="1" applyFill="1" applyBorder="1" applyAlignment="1">
      <alignment vertical="center" wrapText="1"/>
    </xf>
    <xf numFmtId="0" fontId="0" fillId="0" borderId="21" xfId="0" applyNumberFormat="1" applyFont="1" applyFill="1" applyBorder="1" applyAlignment="1">
      <alignment vertical="center" wrapText="1"/>
    </xf>
    <xf numFmtId="0" fontId="0" fillId="0" borderId="22" xfId="0" applyNumberFormat="1" applyFont="1" applyFill="1" applyBorder="1" applyAlignment="1">
      <alignment vertical="center" wrapText="1"/>
    </xf>
    <xf numFmtId="0" fontId="0" fillId="0" borderId="23" xfId="0" applyNumberFormat="1" applyFont="1" applyFill="1" applyBorder="1" applyAlignment="1">
      <alignment vertical="center" wrapText="1"/>
    </xf>
    <xf numFmtId="0" fontId="0" fillId="0" borderId="24" xfId="0" applyNumberFormat="1" applyFont="1" applyFill="1" applyBorder="1" applyAlignment="1">
      <alignment vertical="center" wrapText="1"/>
    </xf>
    <xf numFmtId="0" fontId="0" fillId="0" borderId="25" xfId="0" applyNumberFormat="1" applyFont="1" applyFill="1" applyBorder="1" applyAlignment="1">
      <alignment vertical="center" wrapText="1"/>
    </xf>
    <xf numFmtId="0" fontId="1" fillId="2" borderId="21" xfId="0" applyNumberFormat="1" applyFont="1" applyFill="1" applyBorder="1" applyAlignment="1">
      <alignment vertical="center"/>
    </xf>
    <xf numFmtId="0" fontId="0" fillId="0" borderId="21" xfId="0" applyNumberFormat="1" applyFont="1" applyFill="1" applyBorder="1" applyAlignment="1">
      <alignment vertical="center"/>
    </xf>
    <xf numFmtId="176" fontId="0" fillId="0" borderId="21" xfId="0" applyNumberFormat="1" applyFont="1" applyFill="1" applyBorder="1" applyAlignment="1">
      <alignment vertical="center"/>
    </xf>
    <xf numFmtId="0" fontId="6" fillId="9" borderId="23" xfId="0" applyNumberFormat="1" applyFont="1" applyFill="1" applyBorder="1" applyAlignment="1">
      <alignment vertical="center" wrapText="1"/>
    </xf>
    <xf numFmtId="0" fontId="6" fillId="9" borderId="24" xfId="0" applyNumberFormat="1" applyFont="1" applyFill="1" applyBorder="1" applyAlignment="1">
      <alignment vertical="center" wrapText="1"/>
    </xf>
    <xf numFmtId="0" fontId="6" fillId="9" borderId="25" xfId="0" applyNumberFormat="1"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ont>
        <b val="1"/>
        <color rgb="FF1D4ED8"/>
      </font>
      <fill>
        <patternFill patternType="solid">
          <bgColor rgb="FFDBEAFE"/>
        </patternFill>
      </fill>
    </dxf>
    <dxf>
      <font>
        <b val="1"/>
        <color rgb="FF166534"/>
      </font>
      <fill>
        <patternFill patternType="solid">
          <bgColor rgb="FFDCFCE7"/>
        </patternFill>
      </fill>
    </dxf>
    <dxf>
      <font>
        <b val="1"/>
        <color rgb="FF92400E"/>
      </font>
      <fill>
        <patternFill patternType="solid">
          <bgColor rgb="FFFEF3C7"/>
        </patternFill>
      </fill>
    </dxf>
    <dxf>
      <font>
        <b val="1"/>
        <color rgb="FF991B1B"/>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ApiCatalogTable" displayName="ApiCatalogTable" ref="A3:Q112" totalsRowShown="0">
  <tableColumns count="17">
    <tableColumn id="1" name="STT"/>
    <tableColumn id="2" name="Controller"/>
    <tableColumn id="3" name="Method"/>
    <tableColumn id="4" name="Endpoint"/>
    <tableColumn id="5" name="Dùng để làm gì"/>
    <tableColumn id="6" name="Nên ở trang nào"/>
    <tableColumn id="7" name="Header / Auth"/>
    <tableColumn id="8" name="Path Input"/>
    <tableColumn id="9" name="Query Input"/>
    <tableColumn id="10" name="Body Schema"/>
    <tableColumn id="11" name="Input Example"/>
    <tableColumn id="12" name="Expected Output"/>
    <tableColumn id="13" name="Actual HTTP"/>
    <tableColumn id="14" name="Actual Output"/>
    <tableColumn id="15" name="Test Result"/>
    <tableColumn id="16" name="Duration (ms)"/>
    <tableColumn id="17" name="Notes"/>
  </tableColumns>
  <tableStyleInfo name="TableStyleMedium2" showFirstColumn="0" showLastColumn="0" showRowStripes="1" showColumnStripes="0"/>
</table>
</file>

<file path=xl/tables/table2.xml><?xml version="1.0" encoding="utf-8"?>
<table xmlns="http://schemas.openxmlformats.org/spreadsheetml/2006/main" id="2" name="ApiTestResultsTable" displayName="ApiTestResultsTable" ref="A3:I112" totalsRowShown="0">
  <tableColumns count="9">
    <tableColumn id="1" name="TC ID"/>
    <tableColumn id="2" name="Method"/>
    <tableColumn id="3" name="Endpoint"/>
    <tableColumn id="4" name="Scenario"/>
    <tableColumn id="5" name="Expected"/>
    <tableColumn id="6" name="Actual"/>
    <tableColumn id="7" name="Result"/>
    <tableColumn id="8" name="Evidence / Output"/>
    <tableColumn id="9" name="Defect"/>
  </tableColumns>
  <tableStyleInfo name="TableStyleMedium2" showFirstColumn="0" showLastColumn="0" showRowStripes="1" showColumnStripes="0"/>
</table>
</file>

<file path=xl/tables/table3.xml><?xml version="1.0" encoding="utf-8"?>
<table xmlns="http://schemas.openxmlformats.org/spreadsheetml/2006/main" id="3" name="DefectLogTable" displayName="DefectLogTable" ref="A3:J9" totalsRowShown="0">
  <tableColumns count="10">
    <tableColumn id="1" name="Defect ID"/>
    <tableColumn id="2" name="Category"/>
    <tableColumn id="3" name="Severity"/>
    <tableColumn id="4" name="Priority"/>
    <tableColumn id="5" name="Endpoint / Area"/>
    <tableColumn id="6" name="Actual Result"/>
    <tableColumn id="7" name="Expected Result"/>
    <tableColumn id="8" name="Root Cause / Evidence"/>
    <tableColumn id="9" name="Recommended Fix"/>
    <tableColumn id="10" name="Status"/>
  </tableColumns>
  <tableStyleInfo name="TableStyleMedium2" showFirstColumn="0" showLastColumn="0" showRowStripes="1" showColumnStripes="0"/>
</table>
</file>

<file path=xl/tables/table4.xml><?xml version="1.0" encoding="utf-8"?>
<table xmlns="http://schemas.openxmlformats.org/spreadsheetml/2006/main" id="4" name="PageMappingTable" displayName="PageMappingTable" ref="A3:E24" totalsRowShown="0">
  <tableColumns count="5">
    <tableColumn id="1" name="Controller"/>
    <tableColumn id="2" name="Trang chính"/>
    <tableColumn id="3" name="Trang phụ / Component"/>
    <tableColumn id="4" name="Số API"/>
    <tableColumn id="5" name="Mục đích U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showGridLines="0" tabSelected="1" workbookViewId="0">
      <selection activeCell="A1" sqref="A1:H2"/>
    </sheetView>
  </sheetViews>
  <sheetFormatPr defaultColWidth="9" defaultRowHeight="16.8" outlineLevelCol="7"/>
  <cols>
    <col min="1" max="1" width="18" customWidth="1"/>
    <col min="2" max="8" width="20" customWidth="1"/>
  </cols>
  <sheetData>
    <row r="1" ht="48" customHeight="1" spans="1:8">
      <c r="A1" s="1" t="s">
        <v>0</v>
      </c>
      <c r="B1" s="1" t="s">
        <v>0</v>
      </c>
      <c r="C1" s="1" t="s">
        <v>0</v>
      </c>
      <c r="D1" s="1" t="s">
        <v>0</v>
      </c>
      <c r="E1" s="1" t="s">
        <v>0</v>
      </c>
      <c r="F1" s="1" t="s">
        <v>0</v>
      </c>
      <c r="G1" s="1" t="s">
        <v>0</v>
      </c>
      <c r="H1" s="1" t="s">
        <v>0</v>
      </c>
    </row>
    <row r="2" ht="48" customHeight="1" spans="1:8">
      <c r="A2" s="1" t="s">
        <v>0</v>
      </c>
      <c r="B2" s="1" t="s">
        <v>0</v>
      </c>
      <c r="C2" s="1" t="s">
        <v>0</v>
      </c>
      <c r="D2" s="1" t="s">
        <v>0</v>
      </c>
      <c r="E2" s="1" t="s">
        <v>0</v>
      </c>
      <c r="F2" s="1" t="s">
        <v>0</v>
      </c>
      <c r="G2" s="1" t="s">
        <v>0</v>
      </c>
      <c r="H2" s="1" t="s">
        <v>0</v>
      </c>
    </row>
    <row r="3" spans="1:8">
      <c r="A3" s="7"/>
      <c r="B3" s="7"/>
      <c r="C3" s="7"/>
      <c r="D3" s="7"/>
      <c r="E3" s="7"/>
      <c r="F3" s="7"/>
      <c r="G3" s="7"/>
      <c r="H3" s="7"/>
    </row>
    <row r="4" ht="17.55" spans="1:8">
      <c r="A4" s="8" t="s">
        <v>1</v>
      </c>
      <c r="B4" s="8" t="s">
        <v>1</v>
      </c>
      <c r="C4" s="9" t="s">
        <v>2</v>
      </c>
      <c r="D4" s="9" t="s">
        <v>2</v>
      </c>
      <c r="E4" s="10" t="s">
        <v>3</v>
      </c>
      <c r="F4" s="10" t="s">
        <v>3</v>
      </c>
      <c r="G4" s="11" t="s">
        <v>4</v>
      </c>
      <c r="H4" s="11" t="s">
        <v>4</v>
      </c>
    </row>
    <row r="5" spans="1:8">
      <c r="A5" s="12">
        <f>COUNTA('API Catalog'!$A$4:$A$112)</f>
        <v>109</v>
      </c>
      <c r="B5" s="13"/>
      <c r="C5" s="14">
        <f>COUNTIF('API Catalog'!$O$4:$O$112,"PASS")</f>
        <v>109</v>
      </c>
      <c r="D5" s="15"/>
      <c r="E5" s="16">
        <f>COUNTA('API Catalog'!$A$4:$A$112)-COUNTIF('API Catalog'!$O$4:$O$112,"PASS")</f>
        <v>0</v>
      </c>
      <c r="F5" s="17"/>
      <c r="G5" s="18">
        <f>COUNTIF('API Catalog'!$O$4:$O$112,"PASS")/COUNTA('API Catalog'!$A$4:$A$112)</f>
        <v>1</v>
      </c>
      <c r="H5" s="19"/>
    </row>
    <row r="6" ht="17.55" spans="1:8">
      <c r="A6" s="20"/>
      <c r="B6" s="21"/>
      <c r="C6" s="22"/>
      <c r="D6" s="23"/>
      <c r="E6" s="24"/>
      <c r="F6" s="25"/>
      <c r="G6" s="26"/>
      <c r="H6" s="27"/>
    </row>
    <row r="7" spans="1:8">
      <c r="A7" s="7"/>
      <c r="B7" s="7"/>
      <c r="C7" s="7"/>
      <c r="D7" s="7"/>
      <c r="E7" s="7"/>
      <c r="F7" s="7"/>
      <c r="G7" s="7"/>
      <c r="H7" s="7"/>
    </row>
    <row r="8" spans="1:8">
      <c r="A8" s="28" t="s">
        <v>5</v>
      </c>
      <c r="B8" s="28"/>
      <c r="C8" s="28"/>
      <c r="D8" s="28"/>
      <c r="E8" s="28"/>
      <c r="F8" s="28"/>
      <c r="G8" s="28"/>
      <c r="H8" s="28"/>
    </row>
    <row r="9" ht="30" customHeight="1" spans="1:8">
      <c r="A9" s="29" t="s">
        <v>6</v>
      </c>
      <c r="B9" s="30">
        <v>59</v>
      </c>
      <c r="C9" s="30" t="s">
        <v>7</v>
      </c>
      <c r="D9" s="30">
        <v>59</v>
      </c>
      <c r="E9" s="30" t="s">
        <v>8</v>
      </c>
      <c r="F9" s="30">
        <v>0</v>
      </c>
      <c r="G9" s="30" t="s">
        <v>9</v>
      </c>
      <c r="H9" s="31">
        <v>109</v>
      </c>
    </row>
    <row r="10" ht="30" customHeight="1" spans="1:8">
      <c r="A10" s="32" t="s">
        <v>10</v>
      </c>
      <c r="B10" s="33">
        <v>93</v>
      </c>
      <c r="C10" s="33" t="s">
        <v>11</v>
      </c>
      <c r="D10" s="33">
        <v>109</v>
      </c>
      <c r="E10" s="33" t="s">
        <v>12</v>
      </c>
      <c r="F10" s="33">
        <v>0</v>
      </c>
      <c r="G10" s="33" t="s">
        <v>13</v>
      </c>
      <c r="H10" s="34" t="s">
        <v>2</v>
      </c>
    </row>
    <row r="11" ht="30" customHeight="1" spans="1:8">
      <c r="A11" s="35" t="s">
        <v>14</v>
      </c>
      <c r="B11" s="36" t="s">
        <v>15</v>
      </c>
      <c r="C11" s="36" t="s">
        <v>16</v>
      </c>
      <c r="D11" s="36" t="s">
        <v>17</v>
      </c>
      <c r="E11" s="36" t="s">
        <v>18</v>
      </c>
      <c r="F11" s="36" t="s">
        <v>19</v>
      </c>
      <c r="G11" s="36" t="s">
        <v>20</v>
      </c>
      <c r="H11" s="37" t="s">
        <v>21</v>
      </c>
    </row>
    <row r="12" spans="1:8">
      <c r="A12" s="7"/>
      <c r="B12" s="7"/>
      <c r="C12" s="7"/>
      <c r="D12" s="7"/>
      <c r="E12" s="7"/>
      <c r="F12" s="7"/>
      <c r="G12" s="7"/>
      <c r="H12" s="7"/>
    </row>
    <row r="13" spans="1:8">
      <c r="A13" s="38" t="s">
        <v>22</v>
      </c>
      <c r="B13" s="38" t="s">
        <v>23</v>
      </c>
      <c r="C13" s="38" t="s">
        <v>24</v>
      </c>
      <c r="D13" s="7"/>
      <c r="E13" s="38" t="s">
        <v>25</v>
      </c>
      <c r="F13" s="38" t="s">
        <v>26</v>
      </c>
      <c r="G13" s="38" t="s">
        <v>27</v>
      </c>
      <c r="H13" s="38" t="s">
        <v>28</v>
      </c>
    </row>
    <row r="14" ht="51" spans="1:8">
      <c r="A14" s="39" t="s">
        <v>29</v>
      </c>
      <c r="B14" s="39">
        <f>COUNTIF('API Catalog'!$C$4:$C$112,A14)</f>
        <v>53</v>
      </c>
      <c r="C14" s="40">
        <f>B14/COUNTA('API Catalog'!$A$4:$A$112)</f>
        <v>0.486238532110092</v>
      </c>
      <c r="D14" s="7"/>
      <c r="E14" s="33" t="s">
        <v>30</v>
      </c>
      <c r="F14" s="33" t="s">
        <v>31</v>
      </c>
      <c r="G14" s="33" t="s">
        <v>32</v>
      </c>
      <c r="H14" s="33" t="s">
        <v>33</v>
      </c>
    </row>
    <row r="15" ht="51" spans="1:8">
      <c r="A15" s="39" t="s">
        <v>34</v>
      </c>
      <c r="B15" s="39">
        <f>COUNTIF('API Catalog'!$C$4:$C$112,A15)</f>
        <v>32</v>
      </c>
      <c r="C15" s="40">
        <f>B15/COUNTA('API Catalog'!$A$4:$A$112)</f>
        <v>0.293577981651376</v>
      </c>
      <c r="D15" s="7"/>
      <c r="E15" s="33" t="s">
        <v>35</v>
      </c>
      <c r="F15" s="33" t="s">
        <v>31</v>
      </c>
      <c r="G15" s="33" t="s">
        <v>32</v>
      </c>
      <c r="H15" s="33" t="s">
        <v>36</v>
      </c>
    </row>
    <row r="16" ht="34" spans="1:8">
      <c r="A16" s="39" t="s">
        <v>37</v>
      </c>
      <c r="B16" s="39">
        <f>COUNTIF('API Catalog'!$C$4:$C$112,A16)</f>
        <v>12</v>
      </c>
      <c r="C16" s="40">
        <f>B16/COUNTA('API Catalog'!$A$4:$A$112)</f>
        <v>0.110091743119266</v>
      </c>
      <c r="D16" s="7"/>
      <c r="E16" s="33" t="s">
        <v>38</v>
      </c>
      <c r="F16" s="33" t="s">
        <v>31</v>
      </c>
      <c r="G16" s="33" t="s">
        <v>39</v>
      </c>
      <c r="H16" s="33" t="s">
        <v>40</v>
      </c>
    </row>
    <row r="17" ht="51" spans="1:8">
      <c r="A17" s="39" t="s">
        <v>41</v>
      </c>
      <c r="B17" s="39">
        <f>COUNTIF('API Catalog'!$C$4:$C$112,A17)</f>
        <v>12</v>
      </c>
      <c r="C17" s="40">
        <f>B17/COUNTA('API Catalog'!$A$4:$A$112)</f>
        <v>0.110091743119266</v>
      </c>
      <c r="D17" s="7"/>
      <c r="E17" s="33" t="s">
        <v>42</v>
      </c>
      <c r="F17" s="33" t="s">
        <v>31</v>
      </c>
      <c r="G17" s="33" t="s">
        <v>43</v>
      </c>
      <c r="H17" s="33" t="s">
        <v>44</v>
      </c>
    </row>
    <row r="18" spans="1:8">
      <c r="A18" s="7"/>
      <c r="B18" s="7"/>
      <c r="C18" s="7"/>
      <c r="D18" s="7"/>
      <c r="E18" s="7"/>
      <c r="F18" s="7"/>
      <c r="G18" s="7"/>
      <c r="H18" s="7"/>
    </row>
    <row r="19" spans="1:8">
      <c r="A19" s="7"/>
      <c r="B19" s="7"/>
      <c r="C19" s="7"/>
      <c r="D19" s="7"/>
      <c r="E19" s="7"/>
      <c r="F19" s="7"/>
      <c r="G19" s="7"/>
      <c r="H19" s="7"/>
    </row>
    <row r="20" spans="1:8">
      <c r="A20" s="28" t="s">
        <v>45</v>
      </c>
      <c r="B20" s="28"/>
      <c r="C20" s="28"/>
      <c r="D20" s="28"/>
      <c r="E20" s="28"/>
      <c r="F20" s="28"/>
      <c r="G20" s="28"/>
      <c r="H20" s="28"/>
    </row>
    <row r="21" ht="34" spans="1:8">
      <c r="A21" s="29" t="s">
        <v>46</v>
      </c>
      <c r="B21" s="30" t="s">
        <v>47</v>
      </c>
      <c r="C21" s="30" t="s">
        <v>48</v>
      </c>
      <c r="D21" s="30">
        <v>109</v>
      </c>
      <c r="E21" s="30" t="s">
        <v>49</v>
      </c>
      <c r="F21" s="30" t="s">
        <v>50</v>
      </c>
      <c r="G21" s="30" t="s">
        <v>51</v>
      </c>
      <c r="H21" s="31" t="s">
        <v>52</v>
      </c>
    </row>
    <row r="22" ht="34" spans="1:8">
      <c r="A22" s="32" t="s">
        <v>53</v>
      </c>
      <c r="B22" s="33" t="s">
        <v>54</v>
      </c>
      <c r="C22" s="33" t="s">
        <v>55</v>
      </c>
      <c r="D22" s="33" t="s">
        <v>56</v>
      </c>
      <c r="E22" s="33" t="s">
        <v>57</v>
      </c>
      <c r="F22" s="33" t="s">
        <v>58</v>
      </c>
      <c r="G22" s="33" t="s">
        <v>16</v>
      </c>
      <c r="H22" s="34" t="s">
        <v>59</v>
      </c>
    </row>
    <row r="23" ht="17" spans="1:8">
      <c r="A23" s="41" t="s">
        <v>60</v>
      </c>
      <c r="B23" s="42" t="s">
        <v>61</v>
      </c>
      <c r="C23" s="42"/>
      <c r="D23" s="42"/>
      <c r="E23" s="42"/>
      <c r="F23" s="42"/>
      <c r="G23" s="42"/>
      <c r="H23" s="43"/>
    </row>
  </sheetData>
  <mergeCells count="12">
    <mergeCell ref="A4:B4"/>
    <mergeCell ref="C4:D4"/>
    <mergeCell ref="E4:F4"/>
    <mergeCell ref="G4:H4"/>
    <mergeCell ref="A8:H8"/>
    <mergeCell ref="A20:H20"/>
    <mergeCell ref="B23:H23"/>
    <mergeCell ref="A1:H2"/>
    <mergeCell ref="A5:B6"/>
    <mergeCell ref="C5:D6"/>
    <mergeCell ref="E5:F6"/>
    <mergeCell ref="G5:H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2"/>
  <sheetViews>
    <sheetView showGridLines="0" topLeftCell="A38" workbookViewId="0">
      <selection activeCell="A1" sqref="A1:Q2"/>
    </sheetView>
  </sheetViews>
  <sheetFormatPr defaultColWidth="9" defaultRowHeight="16.8"/>
  <cols>
    <col min="1" max="1" width="7" customWidth="1"/>
    <col min="2" max="2" width="16" customWidth="1"/>
    <col min="3" max="3" width="10" customWidth="1"/>
    <col min="4" max="4" width="38" customWidth="1"/>
    <col min="5" max="5" width="34" customWidth="1"/>
    <col min="6" max="6" width="29" customWidth="1"/>
    <col min="7" max="7" width="27" customWidth="1"/>
    <col min="8" max="9" width="24" customWidth="1"/>
    <col min="10" max="10" width="44" customWidth="1"/>
    <col min="11" max="11" width="48" customWidth="1"/>
    <col min="12" max="12" width="34" customWidth="1"/>
    <col min="13" max="13" width="12" customWidth="1"/>
    <col min="14" max="14" width="52" customWidth="1"/>
    <col min="15" max="15" width="17" customWidth="1"/>
    <col min="16" max="16" width="14" customWidth="1"/>
    <col min="17" max="17" width="42" customWidth="1"/>
  </cols>
  <sheetData>
    <row r="1" ht="48" customHeight="1" spans="1:17">
      <c r="A1" s="1" t="s">
        <v>62</v>
      </c>
      <c r="B1" s="1" t="s">
        <v>62</v>
      </c>
      <c r="C1" s="1" t="s">
        <v>62</v>
      </c>
      <c r="D1" s="1" t="s">
        <v>62</v>
      </c>
      <c r="E1" s="1" t="s">
        <v>62</v>
      </c>
      <c r="F1" s="1" t="s">
        <v>62</v>
      </c>
      <c r="G1" s="1" t="s">
        <v>62</v>
      </c>
      <c r="H1" s="1" t="s">
        <v>62</v>
      </c>
      <c r="I1" s="1" t="s">
        <v>62</v>
      </c>
      <c r="J1" s="1" t="s">
        <v>62</v>
      </c>
      <c r="K1" s="1" t="s">
        <v>62</v>
      </c>
      <c r="L1" s="1" t="s">
        <v>62</v>
      </c>
      <c r="M1" s="1" t="s">
        <v>62</v>
      </c>
      <c r="N1" s="1" t="s">
        <v>62</v>
      </c>
      <c r="O1" s="1" t="s">
        <v>62</v>
      </c>
      <c r="P1" s="1" t="s">
        <v>62</v>
      </c>
      <c r="Q1" s="1" t="s">
        <v>62</v>
      </c>
    </row>
    <row r="2" ht="48" customHeight="1" spans="1:17">
      <c r="A2" s="1" t="s">
        <v>62</v>
      </c>
      <c r="B2" s="1" t="s">
        <v>62</v>
      </c>
      <c r="C2" s="1" t="s">
        <v>62</v>
      </c>
      <c r="D2" s="1" t="s">
        <v>62</v>
      </c>
      <c r="E2" s="1" t="s">
        <v>62</v>
      </c>
      <c r="F2" s="1" t="s">
        <v>62</v>
      </c>
      <c r="G2" s="1" t="s">
        <v>62</v>
      </c>
      <c r="H2" s="1" t="s">
        <v>62</v>
      </c>
      <c r="I2" s="1" t="s">
        <v>62</v>
      </c>
      <c r="J2" s="1" t="s">
        <v>62</v>
      </c>
      <c r="K2" s="1" t="s">
        <v>62</v>
      </c>
      <c r="L2" s="1" t="s">
        <v>62</v>
      </c>
      <c r="M2" s="1" t="s">
        <v>62</v>
      </c>
      <c r="N2" s="1" t="s">
        <v>62</v>
      </c>
      <c r="O2" s="1" t="s">
        <v>62</v>
      </c>
      <c r="P2" s="1" t="s">
        <v>62</v>
      </c>
      <c r="Q2" s="1" t="s">
        <v>62</v>
      </c>
    </row>
    <row r="3" ht="34" spans="1:17">
      <c r="A3" s="1" t="s">
        <v>63</v>
      </c>
      <c r="B3" s="1" t="s">
        <v>64</v>
      </c>
      <c r="C3" s="1" t="s">
        <v>65</v>
      </c>
      <c r="D3" s="1" t="s">
        <v>66</v>
      </c>
      <c r="E3" s="1" t="s">
        <v>67</v>
      </c>
      <c r="F3" s="1" t="s">
        <v>68</v>
      </c>
      <c r="G3" s="1" t="s">
        <v>69</v>
      </c>
      <c r="H3" s="1" t="s">
        <v>70</v>
      </c>
      <c r="I3" s="1" t="s">
        <v>71</v>
      </c>
      <c r="J3" s="1" t="s">
        <v>72</v>
      </c>
      <c r="K3" s="1" t="s">
        <v>73</v>
      </c>
      <c r="L3" s="1" t="s">
        <v>74</v>
      </c>
      <c r="M3" s="1" t="s">
        <v>75</v>
      </c>
      <c r="N3" s="1" t="s">
        <v>76</v>
      </c>
      <c r="O3" s="1" t="s">
        <v>77</v>
      </c>
      <c r="P3" s="1" t="s">
        <v>78</v>
      </c>
      <c r="Q3" s="1" t="s">
        <v>79</v>
      </c>
    </row>
    <row r="4" ht="46" customHeight="1" spans="1:17">
      <c r="A4" s="4">
        <v>1</v>
      </c>
      <c r="B4" s="5" t="s">
        <v>80</v>
      </c>
      <c r="C4" s="5" t="s">
        <v>29</v>
      </c>
      <c r="D4" s="3" t="s">
        <v>81</v>
      </c>
      <c r="E4" s="3" t="s">
        <v>82</v>
      </c>
      <c r="F4" s="3" t="s">
        <v>83</v>
      </c>
      <c r="G4" s="3" t="s">
        <v>84</v>
      </c>
      <c r="H4" s="3" t="s">
        <v>85</v>
      </c>
      <c r="I4" s="3" t="s">
        <v>86</v>
      </c>
      <c r="J4" s="3" t="s">
        <v>87</v>
      </c>
      <c r="K4" s="3" t="s">
        <v>88</v>
      </c>
      <c r="L4" s="3" t="s">
        <v>89</v>
      </c>
      <c r="M4" s="4">
        <v>200</v>
      </c>
      <c r="N4" s="3" t="s">
        <v>90</v>
      </c>
      <c r="O4" s="3" t="s">
        <v>2</v>
      </c>
      <c r="P4" s="6">
        <v>59</v>
      </c>
      <c r="Q4" s="3" t="s">
        <v>91</v>
      </c>
    </row>
    <row r="5" ht="46" customHeight="1" spans="1:17">
      <c r="A5" s="4">
        <v>2</v>
      </c>
      <c r="B5" s="5" t="s">
        <v>80</v>
      </c>
      <c r="C5" s="5" t="s">
        <v>29</v>
      </c>
      <c r="D5" s="3" t="s">
        <v>92</v>
      </c>
      <c r="E5" s="3" t="s">
        <v>93</v>
      </c>
      <c r="F5" s="3" t="s">
        <v>83</v>
      </c>
      <c r="G5" s="3" t="s">
        <v>84</v>
      </c>
      <c r="H5" s="3" t="s">
        <v>94</v>
      </c>
      <c r="I5" s="3" t="s">
        <v>85</v>
      </c>
      <c r="J5" s="3" t="s">
        <v>87</v>
      </c>
      <c r="K5" s="3" t="s">
        <v>95</v>
      </c>
      <c r="L5" s="3" t="s">
        <v>89</v>
      </c>
      <c r="M5" s="4">
        <v>200</v>
      </c>
      <c r="N5" s="3" t="s">
        <v>96</v>
      </c>
      <c r="O5" s="3" t="s">
        <v>2</v>
      </c>
      <c r="P5" s="6">
        <v>23</v>
      </c>
      <c r="Q5" s="3" t="s">
        <v>91</v>
      </c>
    </row>
    <row r="6" ht="46" customHeight="1" spans="1:17">
      <c r="A6" s="4">
        <v>3</v>
      </c>
      <c r="B6" s="5" t="s">
        <v>80</v>
      </c>
      <c r="C6" s="5" t="s">
        <v>29</v>
      </c>
      <c r="D6" s="3" t="s">
        <v>97</v>
      </c>
      <c r="E6" s="3" t="s">
        <v>98</v>
      </c>
      <c r="F6" s="3" t="s">
        <v>83</v>
      </c>
      <c r="G6" s="3" t="s">
        <v>84</v>
      </c>
      <c r="H6" s="3" t="s">
        <v>99</v>
      </c>
      <c r="I6" s="3" t="s">
        <v>86</v>
      </c>
      <c r="J6" s="3" t="s">
        <v>87</v>
      </c>
      <c r="K6" s="3" t="s">
        <v>100</v>
      </c>
      <c r="L6" s="3" t="s">
        <v>89</v>
      </c>
      <c r="M6" s="4">
        <v>200</v>
      </c>
      <c r="N6" s="3" t="s">
        <v>96</v>
      </c>
      <c r="O6" s="3" t="s">
        <v>2</v>
      </c>
      <c r="P6" s="6">
        <v>43</v>
      </c>
      <c r="Q6" s="3" t="s">
        <v>91</v>
      </c>
    </row>
    <row r="7" ht="46" customHeight="1" spans="1:17">
      <c r="A7" s="4">
        <v>4</v>
      </c>
      <c r="B7" s="5" t="s">
        <v>80</v>
      </c>
      <c r="C7" s="5" t="s">
        <v>29</v>
      </c>
      <c r="D7" s="3" t="s">
        <v>101</v>
      </c>
      <c r="E7" s="3" t="s">
        <v>102</v>
      </c>
      <c r="F7" s="3" t="s">
        <v>83</v>
      </c>
      <c r="G7" s="3" t="s">
        <v>84</v>
      </c>
      <c r="H7" s="3" t="s">
        <v>103</v>
      </c>
      <c r="I7" s="3" t="s">
        <v>85</v>
      </c>
      <c r="J7" s="3" t="s">
        <v>87</v>
      </c>
      <c r="K7" s="3" t="s">
        <v>104</v>
      </c>
      <c r="L7" s="3" t="s">
        <v>89</v>
      </c>
      <c r="M7" s="4">
        <v>200</v>
      </c>
      <c r="N7" s="3" t="s">
        <v>90</v>
      </c>
      <c r="O7" s="3" t="s">
        <v>2</v>
      </c>
      <c r="P7" s="6">
        <v>22</v>
      </c>
      <c r="Q7" s="3" t="s">
        <v>91</v>
      </c>
    </row>
    <row r="8" ht="46" customHeight="1" spans="1:17">
      <c r="A8" s="4">
        <v>5</v>
      </c>
      <c r="B8" s="5" t="s">
        <v>105</v>
      </c>
      <c r="C8" s="5" t="s">
        <v>29</v>
      </c>
      <c r="D8" s="3" t="s">
        <v>106</v>
      </c>
      <c r="E8" s="3" t="s">
        <v>107</v>
      </c>
      <c r="F8" s="3" t="s">
        <v>108</v>
      </c>
      <c r="G8" s="3" t="s">
        <v>84</v>
      </c>
      <c r="H8" s="3" t="s">
        <v>85</v>
      </c>
      <c r="I8" s="3" t="s">
        <v>85</v>
      </c>
      <c r="J8" s="3" t="s">
        <v>87</v>
      </c>
      <c r="K8" s="3" t="s">
        <v>109</v>
      </c>
      <c r="L8" s="3" t="s">
        <v>89</v>
      </c>
      <c r="M8" s="4">
        <v>200</v>
      </c>
      <c r="N8" s="3" t="s">
        <v>110</v>
      </c>
      <c r="O8" s="3" t="s">
        <v>2</v>
      </c>
      <c r="P8" s="6">
        <v>77</v>
      </c>
      <c r="Q8" s="3" t="s">
        <v>91</v>
      </c>
    </row>
    <row r="9" ht="46" customHeight="1" spans="1:17">
      <c r="A9" s="4">
        <v>6</v>
      </c>
      <c r="B9" s="5" t="s">
        <v>111</v>
      </c>
      <c r="C9" s="5" t="s">
        <v>29</v>
      </c>
      <c r="D9" s="3" t="s">
        <v>112</v>
      </c>
      <c r="E9" s="3" t="s">
        <v>113</v>
      </c>
      <c r="F9" s="3" t="s">
        <v>114</v>
      </c>
      <c r="G9" s="3" t="s">
        <v>84</v>
      </c>
      <c r="H9" s="3" t="s">
        <v>115</v>
      </c>
      <c r="I9" s="3" t="s">
        <v>85</v>
      </c>
      <c r="J9" s="3" t="s">
        <v>87</v>
      </c>
      <c r="K9" s="3" t="s">
        <v>116</v>
      </c>
      <c r="L9" s="3" t="s">
        <v>89</v>
      </c>
      <c r="M9" s="4">
        <v>200</v>
      </c>
      <c r="N9" s="3" t="s">
        <v>96</v>
      </c>
      <c r="O9" s="3" t="s">
        <v>2</v>
      </c>
      <c r="P9" s="6">
        <v>22</v>
      </c>
      <c r="Q9" s="3" t="s">
        <v>117</v>
      </c>
    </row>
    <row r="10" ht="46" customHeight="1" spans="1:17">
      <c r="A10" s="4">
        <v>7</v>
      </c>
      <c r="B10" s="5" t="s">
        <v>111</v>
      </c>
      <c r="C10" s="5" t="s">
        <v>34</v>
      </c>
      <c r="D10" s="3" t="s">
        <v>118</v>
      </c>
      <c r="E10" s="3" t="s">
        <v>119</v>
      </c>
      <c r="F10" s="3" t="s">
        <v>120</v>
      </c>
      <c r="G10" s="3" t="s">
        <v>84</v>
      </c>
      <c r="H10" s="3" t="s">
        <v>115</v>
      </c>
      <c r="I10" s="3" t="s">
        <v>85</v>
      </c>
      <c r="J10" s="3" t="s">
        <v>87</v>
      </c>
      <c r="K10" s="3" t="s">
        <v>116</v>
      </c>
      <c r="L10" s="3" t="s">
        <v>121</v>
      </c>
      <c r="M10" s="4">
        <v>200</v>
      </c>
      <c r="N10" s="3" t="s">
        <v>122</v>
      </c>
      <c r="O10" s="3" t="s">
        <v>2</v>
      </c>
      <c r="P10" s="6">
        <v>1147</v>
      </c>
      <c r="Q10" s="3" t="s">
        <v>117</v>
      </c>
    </row>
    <row r="11" ht="46" customHeight="1" spans="1:17">
      <c r="A11" s="4">
        <v>8</v>
      </c>
      <c r="B11" s="5" t="s">
        <v>111</v>
      </c>
      <c r="C11" s="5" t="s">
        <v>29</v>
      </c>
      <c r="D11" s="3" t="s">
        <v>123</v>
      </c>
      <c r="E11" s="3" t="s">
        <v>124</v>
      </c>
      <c r="F11" s="3" t="s">
        <v>125</v>
      </c>
      <c r="G11" s="3" t="s">
        <v>84</v>
      </c>
      <c r="H11" s="3" t="s">
        <v>115</v>
      </c>
      <c r="I11" s="3" t="s">
        <v>85</v>
      </c>
      <c r="J11" s="3" t="s">
        <v>87</v>
      </c>
      <c r="K11" s="3" t="s">
        <v>116</v>
      </c>
      <c r="L11" s="3" t="s">
        <v>89</v>
      </c>
      <c r="M11" s="4">
        <v>200</v>
      </c>
      <c r="N11" s="3" t="s">
        <v>126</v>
      </c>
      <c r="O11" s="3" t="s">
        <v>2</v>
      </c>
      <c r="P11" s="6">
        <v>30</v>
      </c>
      <c r="Q11" s="3" t="s">
        <v>117</v>
      </c>
    </row>
    <row r="12" ht="46" customHeight="1" spans="1:17">
      <c r="A12" s="4">
        <v>9</v>
      </c>
      <c r="B12" s="5" t="s">
        <v>111</v>
      </c>
      <c r="C12" s="5" t="s">
        <v>34</v>
      </c>
      <c r="D12" s="3" t="s">
        <v>127</v>
      </c>
      <c r="E12" s="3" t="s">
        <v>128</v>
      </c>
      <c r="F12" s="3" t="s">
        <v>120</v>
      </c>
      <c r="G12" s="3" t="s">
        <v>84</v>
      </c>
      <c r="H12" s="3" t="s">
        <v>115</v>
      </c>
      <c r="I12" s="3" t="s">
        <v>85</v>
      </c>
      <c r="J12" s="3" t="s">
        <v>87</v>
      </c>
      <c r="K12" s="3" t="s">
        <v>116</v>
      </c>
      <c r="L12" s="3" t="s">
        <v>121</v>
      </c>
      <c r="M12" s="4">
        <v>200</v>
      </c>
      <c r="N12" s="3" t="s">
        <v>129</v>
      </c>
      <c r="O12" s="3" t="s">
        <v>2</v>
      </c>
      <c r="P12" s="6">
        <v>1259</v>
      </c>
      <c r="Q12" s="3" t="s">
        <v>117</v>
      </c>
    </row>
    <row r="13" ht="46" customHeight="1" spans="1:17">
      <c r="A13" s="4">
        <v>10</v>
      </c>
      <c r="B13" s="5" t="s">
        <v>111</v>
      </c>
      <c r="C13" s="5" t="s">
        <v>29</v>
      </c>
      <c r="D13" s="3" t="s">
        <v>130</v>
      </c>
      <c r="E13" s="3" t="s">
        <v>131</v>
      </c>
      <c r="F13" s="3" t="s">
        <v>125</v>
      </c>
      <c r="G13" s="3" t="s">
        <v>84</v>
      </c>
      <c r="H13" s="3" t="s">
        <v>115</v>
      </c>
      <c r="I13" s="3" t="s">
        <v>85</v>
      </c>
      <c r="J13" s="3" t="s">
        <v>87</v>
      </c>
      <c r="K13" s="3" t="s">
        <v>116</v>
      </c>
      <c r="L13" s="3" t="s">
        <v>89</v>
      </c>
      <c r="M13" s="4">
        <v>200</v>
      </c>
      <c r="N13" s="3" t="s">
        <v>96</v>
      </c>
      <c r="O13" s="3" t="s">
        <v>2</v>
      </c>
      <c r="P13" s="6">
        <v>34</v>
      </c>
      <c r="Q13" s="3" t="s">
        <v>117</v>
      </c>
    </row>
    <row r="14" ht="46" customHeight="1" spans="1:17">
      <c r="A14" s="4">
        <v>11</v>
      </c>
      <c r="B14" s="5" t="s">
        <v>111</v>
      </c>
      <c r="C14" s="5" t="s">
        <v>34</v>
      </c>
      <c r="D14" s="3" t="s">
        <v>132</v>
      </c>
      <c r="E14" s="3" t="s">
        <v>133</v>
      </c>
      <c r="F14" s="3" t="s">
        <v>120</v>
      </c>
      <c r="G14" s="3" t="s">
        <v>84</v>
      </c>
      <c r="H14" s="3" t="s">
        <v>115</v>
      </c>
      <c r="I14" s="3" t="s">
        <v>85</v>
      </c>
      <c r="J14" s="3" t="s">
        <v>87</v>
      </c>
      <c r="K14" s="3" t="s">
        <v>116</v>
      </c>
      <c r="L14" s="3" t="s">
        <v>121</v>
      </c>
      <c r="M14" s="4">
        <v>200</v>
      </c>
      <c r="N14" s="3" t="s">
        <v>134</v>
      </c>
      <c r="O14" s="3" t="s">
        <v>2</v>
      </c>
      <c r="P14" s="6">
        <v>25</v>
      </c>
      <c r="Q14" s="3" t="s">
        <v>117</v>
      </c>
    </row>
    <row r="15" ht="46" customHeight="1" spans="1:17">
      <c r="A15" s="4">
        <v>12</v>
      </c>
      <c r="B15" s="5" t="s">
        <v>111</v>
      </c>
      <c r="C15" s="5" t="s">
        <v>34</v>
      </c>
      <c r="D15" s="3" t="s">
        <v>135</v>
      </c>
      <c r="E15" s="3" t="s">
        <v>136</v>
      </c>
      <c r="F15" s="3" t="s">
        <v>137</v>
      </c>
      <c r="G15" s="3" t="s">
        <v>84</v>
      </c>
      <c r="H15" s="3" t="s">
        <v>99</v>
      </c>
      <c r="I15" s="3" t="s">
        <v>85</v>
      </c>
      <c r="J15" s="3" t="s">
        <v>87</v>
      </c>
      <c r="K15" s="3" t="s">
        <v>138</v>
      </c>
      <c r="L15" s="3" t="s">
        <v>121</v>
      </c>
      <c r="M15" s="4">
        <v>200</v>
      </c>
      <c r="N15" s="3" t="s">
        <v>139</v>
      </c>
      <c r="O15" s="3" t="s">
        <v>2</v>
      </c>
      <c r="P15" s="6">
        <v>7949</v>
      </c>
      <c r="Q15" s="3" t="s">
        <v>117</v>
      </c>
    </row>
    <row r="16" ht="46" customHeight="1" spans="1:17">
      <c r="A16" s="4">
        <v>13</v>
      </c>
      <c r="B16" s="5" t="s">
        <v>111</v>
      </c>
      <c r="C16" s="5" t="s">
        <v>29</v>
      </c>
      <c r="D16" s="3" t="s">
        <v>140</v>
      </c>
      <c r="E16" s="3" t="s">
        <v>141</v>
      </c>
      <c r="F16" s="3" t="s">
        <v>137</v>
      </c>
      <c r="G16" s="3" t="s">
        <v>84</v>
      </c>
      <c r="H16" s="3" t="s">
        <v>99</v>
      </c>
      <c r="I16" s="3" t="s">
        <v>85</v>
      </c>
      <c r="J16" s="3" t="s">
        <v>87</v>
      </c>
      <c r="K16" s="3" t="s">
        <v>138</v>
      </c>
      <c r="L16" s="3" t="s">
        <v>89</v>
      </c>
      <c r="M16" s="4">
        <v>200</v>
      </c>
      <c r="N16" s="3" t="s">
        <v>142</v>
      </c>
      <c r="O16" s="3" t="s">
        <v>2</v>
      </c>
      <c r="P16" s="6">
        <v>2048</v>
      </c>
      <c r="Q16" s="3" t="s">
        <v>117</v>
      </c>
    </row>
    <row r="17" ht="46" customHeight="1" spans="1:17">
      <c r="A17" s="4">
        <v>14</v>
      </c>
      <c r="B17" s="5" t="s">
        <v>143</v>
      </c>
      <c r="C17" s="5" t="s">
        <v>34</v>
      </c>
      <c r="D17" s="3" t="s">
        <v>144</v>
      </c>
      <c r="E17" s="3" t="s">
        <v>145</v>
      </c>
      <c r="F17" s="3" t="s">
        <v>146</v>
      </c>
      <c r="G17" s="3" t="s">
        <v>147</v>
      </c>
      <c r="H17" s="3" t="s">
        <v>85</v>
      </c>
      <c r="I17" s="3" t="s">
        <v>85</v>
      </c>
      <c r="J17" s="3" t="s">
        <v>148</v>
      </c>
      <c r="K17" s="3" t="s">
        <v>149</v>
      </c>
      <c r="L17" s="3" t="s">
        <v>150</v>
      </c>
      <c r="M17" s="4">
        <v>401</v>
      </c>
      <c r="N17" s="3" t="s">
        <v>151</v>
      </c>
      <c r="O17" s="3" t="s">
        <v>2</v>
      </c>
      <c r="P17" s="6">
        <v>102</v>
      </c>
      <c r="Q17" s="3" t="s">
        <v>152</v>
      </c>
    </row>
    <row r="18" ht="46" customHeight="1" spans="1:17">
      <c r="A18" s="4">
        <v>15</v>
      </c>
      <c r="B18" s="5" t="s">
        <v>143</v>
      </c>
      <c r="C18" s="5" t="s">
        <v>34</v>
      </c>
      <c r="D18" s="3" t="s">
        <v>153</v>
      </c>
      <c r="E18" s="3" t="s">
        <v>154</v>
      </c>
      <c r="F18" s="3" t="s">
        <v>146</v>
      </c>
      <c r="G18" s="3" t="s">
        <v>147</v>
      </c>
      <c r="H18" s="3" t="s">
        <v>85</v>
      </c>
      <c r="I18" s="3" t="s">
        <v>85</v>
      </c>
      <c r="J18" s="3" t="s">
        <v>155</v>
      </c>
      <c r="K18" s="3" t="s">
        <v>156</v>
      </c>
      <c r="L18" s="3" t="s">
        <v>121</v>
      </c>
      <c r="M18" s="4">
        <v>200</v>
      </c>
      <c r="N18" s="3" t="s">
        <v>157</v>
      </c>
      <c r="O18" s="3" t="s">
        <v>2</v>
      </c>
      <c r="P18" s="6">
        <v>401</v>
      </c>
      <c r="Q18" s="3" t="s">
        <v>158</v>
      </c>
    </row>
    <row r="19" ht="46" customHeight="1" spans="1:17">
      <c r="A19" s="4">
        <v>16</v>
      </c>
      <c r="B19" s="5" t="s">
        <v>143</v>
      </c>
      <c r="C19" s="5" t="s">
        <v>34</v>
      </c>
      <c r="D19" s="3" t="s">
        <v>159</v>
      </c>
      <c r="E19" s="3" t="s">
        <v>160</v>
      </c>
      <c r="F19" s="3" t="s">
        <v>146</v>
      </c>
      <c r="G19" s="3" t="s">
        <v>84</v>
      </c>
      <c r="H19" s="3" t="s">
        <v>85</v>
      </c>
      <c r="I19" s="3" t="s">
        <v>85</v>
      </c>
      <c r="J19" s="3" t="s">
        <v>87</v>
      </c>
      <c r="K19" s="3" t="s">
        <v>109</v>
      </c>
      <c r="L19" s="3" t="s">
        <v>161</v>
      </c>
      <c r="M19" s="4">
        <v>200</v>
      </c>
      <c r="N19" s="3" t="s">
        <v>162</v>
      </c>
      <c r="O19" s="3" t="s">
        <v>2</v>
      </c>
      <c r="P19" s="6">
        <v>11</v>
      </c>
      <c r="Q19" s="3" t="s">
        <v>163</v>
      </c>
    </row>
    <row r="20" ht="46" customHeight="1" spans="1:17">
      <c r="A20" s="4">
        <v>17</v>
      </c>
      <c r="B20" s="5" t="s">
        <v>143</v>
      </c>
      <c r="C20" s="5" t="s">
        <v>34</v>
      </c>
      <c r="D20" s="3" t="s">
        <v>164</v>
      </c>
      <c r="E20" s="3" t="s">
        <v>165</v>
      </c>
      <c r="F20" s="3" t="s">
        <v>146</v>
      </c>
      <c r="G20" s="3" t="s">
        <v>147</v>
      </c>
      <c r="H20" s="3" t="s">
        <v>85</v>
      </c>
      <c r="I20" s="3" t="s">
        <v>85</v>
      </c>
      <c r="J20" s="3" t="s">
        <v>166</v>
      </c>
      <c r="K20" s="3" t="s">
        <v>167</v>
      </c>
      <c r="L20" s="3" t="s">
        <v>121</v>
      </c>
      <c r="M20" s="4">
        <v>200</v>
      </c>
      <c r="N20" s="3" t="s">
        <v>168</v>
      </c>
      <c r="O20" s="3" t="s">
        <v>2</v>
      </c>
      <c r="P20" s="6">
        <v>1286</v>
      </c>
      <c r="Q20" s="3" t="s">
        <v>158</v>
      </c>
    </row>
    <row r="21" ht="46" customHeight="1" spans="1:17">
      <c r="A21" s="4">
        <v>18</v>
      </c>
      <c r="B21" s="5" t="s">
        <v>169</v>
      </c>
      <c r="C21" s="5" t="s">
        <v>34</v>
      </c>
      <c r="D21" s="3" t="s">
        <v>170</v>
      </c>
      <c r="E21" s="3" t="s">
        <v>171</v>
      </c>
      <c r="F21" s="3" t="s">
        <v>172</v>
      </c>
      <c r="G21" s="3" t="s">
        <v>84</v>
      </c>
      <c r="H21" s="3" t="s">
        <v>85</v>
      </c>
      <c r="I21" s="3" t="s">
        <v>85</v>
      </c>
      <c r="J21" s="3" t="s">
        <v>173</v>
      </c>
      <c r="K21" s="3" t="s">
        <v>174</v>
      </c>
      <c r="L21" s="3" t="s">
        <v>175</v>
      </c>
      <c r="M21" s="4">
        <v>201</v>
      </c>
      <c r="N21" s="3" t="s">
        <v>176</v>
      </c>
      <c r="O21" s="3" t="s">
        <v>2</v>
      </c>
      <c r="P21" s="6">
        <v>98</v>
      </c>
      <c r="Q21" s="3" t="s">
        <v>91</v>
      </c>
    </row>
    <row r="22" ht="46" customHeight="1" spans="1:17">
      <c r="A22" s="4">
        <v>19</v>
      </c>
      <c r="B22" s="5" t="s">
        <v>169</v>
      </c>
      <c r="C22" s="5" t="s">
        <v>41</v>
      </c>
      <c r="D22" s="3" t="s">
        <v>177</v>
      </c>
      <c r="E22" s="3" t="s">
        <v>178</v>
      </c>
      <c r="F22" s="3" t="s">
        <v>172</v>
      </c>
      <c r="G22" s="3" t="s">
        <v>84</v>
      </c>
      <c r="H22" s="3" t="s">
        <v>179</v>
      </c>
      <c r="I22" s="3" t="s">
        <v>85</v>
      </c>
      <c r="J22" s="3" t="s">
        <v>87</v>
      </c>
      <c r="K22" s="3" t="s">
        <v>180</v>
      </c>
      <c r="L22" s="3" t="s">
        <v>181</v>
      </c>
      <c r="M22" s="4">
        <v>204</v>
      </c>
      <c r="N22" s="3" t="s">
        <v>182</v>
      </c>
      <c r="O22" s="3" t="s">
        <v>2</v>
      </c>
      <c r="P22" s="6">
        <v>14</v>
      </c>
      <c r="Q22" s="3" t="s">
        <v>91</v>
      </c>
    </row>
    <row r="23" ht="46" customHeight="1" spans="1:17">
      <c r="A23" s="4">
        <v>20</v>
      </c>
      <c r="B23" s="5" t="s">
        <v>169</v>
      </c>
      <c r="C23" s="5" t="s">
        <v>29</v>
      </c>
      <c r="D23" s="3" t="s">
        <v>177</v>
      </c>
      <c r="E23" s="3" t="s">
        <v>183</v>
      </c>
      <c r="F23" s="3" t="s">
        <v>172</v>
      </c>
      <c r="G23" s="3" t="s">
        <v>84</v>
      </c>
      <c r="H23" s="3" t="s">
        <v>179</v>
      </c>
      <c r="I23" s="3" t="s">
        <v>85</v>
      </c>
      <c r="J23" s="3" t="s">
        <v>87</v>
      </c>
      <c r="K23" s="3" t="s">
        <v>180</v>
      </c>
      <c r="L23" s="3" t="s">
        <v>89</v>
      </c>
      <c r="M23" s="4">
        <v>200</v>
      </c>
      <c r="N23" s="3" t="s">
        <v>176</v>
      </c>
      <c r="O23" s="3" t="s">
        <v>2</v>
      </c>
      <c r="P23" s="6">
        <v>103</v>
      </c>
      <c r="Q23" s="3" t="s">
        <v>91</v>
      </c>
    </row>
    <row r="24" ht="46" customHeight="1" spans="1:17">
      <c r="A24" s="4">
        <v>21</v>
      </c>
      <c r="B24" s="5" t="s">
        <v>169</v>
      </c>
      <c r="C24" s="5" t="s">
        <v>29</v>
      </c>
      <c r="D24" s="3" t="s">
        <v>184</v>
      </c>
      <c r="E24" s="3" t="s">
        <v>185</v>
      </c>
      <c r="F24" s="3" t="s">
        <v>172</v>
      </c>
      <c r="G24" s="3" t="s">
        <v>84</v>
      </c>
      <c r="H24" s="3" t="s">
        <v>186</v>
      </c>
      <c r="I24" s="3" t="s">
        <v>85</v>
      </c>
      <c r="J24" s="3" t="s">
        <v>87</v>
      </c>
      <c r="K24" s="3" t="s">
        <v>187</v>
      </c>
      <c r="L24" s="3" t="s">
        <v>89</v>
      </c>
      <c r="M24" s="4">
        <v>200</v>
      </c>
      <c r="N24" s="3" t="s">
        <v>188</v>
      </c>
      <c r="O24" s="3" t="s">
        <v>2</v>
      </c>
      <c r="P24" s="6">
        <v>74</v>
      </c>
      <c r="Q24" s="3" t="s">
        <v>91</v>
      </c>
    </row>
    <row r="25" ht="46" customHeight="1" spans="1:17">
      <c r="A25" s="4">
        <v>22</v>
      </c>
      <c r="B25" s="5" t="s">
        <v>169</v>
      </c>
      <c r="C25" s="5" t="s">
        <v>29</v>
      </c>
      <c r="D25" s="3" t="s">
        <v>189</v>
      </c>
      <c r="E25" s="3" t="s">
        <v>190</v>
      </c>
      <c r="F25" s="3" t="s">
        <v>172</v>
      </c>
      <c r="G25" s="3" t="s">
        <v>84</v>
      </c>
      <c r="H25" s="3" t="s">
        <v>103</v>
      </c>
      <c r="I25" s="3" t="s">
        <v>85</v>
      </c>
      <c r="J25" s="3" t="s">
        <v>87</v>
      </c>
      <c r="K25" s="3" t="s">
        <v>104</v>
      </c>
      <c r="L25" s="3" t="s">
        <v>89</v>
      </c>
      <c r="M25" s="4">
        <v>200</v>
      </c>
      <c r="N25" s="3" t="s">
        <v>96</v>
      </c>
      <c r="O25" s="3" t="s">
        <v>2</v>
      </c>
      <c r="P25" s="6">
        <v>27</v>
      </c>
      <c r="Q25" s="3" t="s">
        <v>91</v>
      </c>
    </row>
    <row r="26" ht="46" customHeight="1" spans="1:17">
      <c r="A26" s="4">
        <v>23</v>
      </c>
      <c r="B26" s="5" t="s">
        <v>191</v>
      </c>
      <c r="C26" s="5" t="s">
        <v>29</v>
      </c>
      <c r="D26" s="3" t="s">
        <v>192</v>
      </c>
      <c r="E26" s="3" t="s">
        <v>193</v>
      </c>
      <c r="F26" s="3" t="s">
        <v>194</v>
      </c>
      <c r="G26" s="3" t="s">
        <v>84</v>
      </c>
      <c r="H26" s="3" t="s">
        <v>99</v>
      </c>
      <c r="I26" s="3" t="s">
        <v>85</v>
      </c>
      <c r="J26" s="3" t="s">
        <v>87</v>
      </c>
      <c r="K26" s="3" t="s">
        <v>138</v>
      </c>
      <c r="L26" s="3" t="s">
        <v>195</v>
      </c>
      <c r="M26" s="4">
        <v>200</v>
      </c>
      <c r="N26" s="3" t="s">
        <v>196</v>
      </c>
      <c r="O26" s="3" t="s">
        <v>2</v>
      </c>
      <c r="P26" s="6">
        <v>652</v>
      </c>
      <c r="Q26" s="3" t="s">
        <v>91</v>
      </c>
    </row>
    <row r="27" ht="46" customHeight="1" spans="1:17">
      <c r="A27" s="4">
        <v>24</v>
      </c>
      <c r="B27" s="5" t="s">
        <v>191</v>
      </c>
      <c r="C27" s="5" t="s">
        <v>29</v>
      </c>
      <c r="D27" s="3" t="s">
        <v>197</v>
      </c>
      <c r="E27" s="3" t="s">
        <v>198</v>
      </c>
      <c r="F27" s="3" t="s">
        <v>194</v>
      </c>
      <c r="G27" s="3" t="s">
        <v>84</v>
      </c>
      <c r="H27" s="3" t="s">
        <v>99</v>
      </c>
      <c r="I27" s="3" t="s">
        <v>85</v>
      </c>
      <c r="J27" s="3" t="s">
        <v>87</v>
      </c>
      <c r="K27" s="3" t="s">
        <v>138</v>
      </c>
      <c r="L27" s="3" t="s">
        <v>199</v>
      </c>
      <c r="M27" s="4">
        <v>200</v>
      </c>
      <c r="N27" s="3" t="s">
        <v>200</v>
      </c>
      <c r="O27" s="3" t="s">
        <v>2</v>
      </c>
      <c r="P27" s="6">
        <v>1695</v>
      </c>
      <c r="Q27" s="3" t="s">
        <v>91</v>
      </c>
    </row>
    <row r="28" ht="46" customHeight="1" spans="1:17">
      <c r="A28" s="4">
        <v>25</v>
      </c>
      <c r="B28" s="5" t="s">
        <v>201</v>
      </c>
      <c r="C28" s="5" t="s">
        <v>34</v>
      </c>
      <c r="D28" s="3" t="s">
        <v>202</v>
      </c>
      <c r="E28" s="3" t="s">
        <v>203</v>
      </c>
      <c r="F28" s="3" t="s">
        <v>204</v>
      </c>
      <c r="G28" s="3" t="s">
        <v>84</v>
      </c>
      <c r="H28" s="3" t="s">
        <v>85</v>
      </c>
      <c r="I28" s="3" t="s">
        <v>85</v>
      </c>
      <c r="J28" s="3" t="s">
        <v>205</v>
      </c>
      <c r="K28" s="3" t="s">
        <v>206</v>
      </c>
      <c r="L28" s="3" t="s">
        <v>175</v>
      </c>
      <c r="M28" s="4">
        <v>201</v>
      </c>
      <c r="N28" s="3" t="s">
        <v>207</v>
      </c>
      <c r="O28" s="3" t="s">
        <v>2</v>
      </c>
      <c r="P28" s="6">
        <v>57</v>
      </c>
      <c r="Q28" s="3" t="s">
        <v>91</v>
      </c>
    </row>
    <row r="29" ht="46" customHeight="1" spans="1:17">
      <c r="A29" s="4">
        <v>26</v>
      </c>
      <c r="B29" s="5" t="s">
        <v>201</v>
      </c>
      <c r="C29" s="5" t="s">
        <v>41</v>
      </c>
      <c r="D29" s="3" t="s">
        <v>208</v>
      </c>
      <c r="E29" s="3" t="s">
        <v>209</v>
      </c>
      <c r="F29" s="3" t="s">
        <v>204</v>
      </c>
      <c r="G29" s="3" t="s">
        <v>84</v>
      </c>
      <c r="H29" s="3" t="s">
        <v>179</v>
      </c>
      <c r="I29" s="3" t="s">
        <v>85</v>
      </c>
      <c r="J29" s="3" t="s">
        <v>87</v>
      </c>
      <c r="K29" s="3" t="s">
        <v>180</v>
      </c>
      <c r="L29" s="3" t="s">
        <v>181</v>
      </c>
      <c r="M29" s="4">
        <v>204</v>
      </c>
      <c r="N29" s="3" t="s">
        <v>182</v>
      </c>
      <c r="O29" s="3" t="s">
        <v>2</v>
      </c>
      <c r="P29" s="6">
        <v>13</v>
      </c>
      <c r="Q29" s="3" t="s">
        <v>91</v>
      </c>
    </row>
    <row r="30" ht="46" customHeight="1" spans="1:17">
      <c r="A30" s="4">
        <v>27</v>
      </c>
      <c r="B30" s="5" t="s">
        <v>201</v>
      </c>
      <c r="C30" s="5" t="s">
        <v>29</v>
      </c>
      <c r="D30" s="3" t="s">
        <v>208</v>
      </c>
      <c r="E30" s="3" t="s">
        <v>210</v>
      </c>
      <c r="F30" s="3" t="s">
        <v>204</v>
      </c>
      <c r="G30" s="3" t="s">
        <v>84</v>
      </c>
      <c r="H30" s="3" t="s">
        <v>179</v>
      </c>
      <c r="I30" s="3" t="s">
        <v>85</v>
      </c>
      <c r="J30" s="3" t="s">
        <v>87</v>
      </c>
      <c r="K30" s="3" t="s">
        <v>180</v>
      </c>
      <c r="L30" s="3" t="s">
        <v>89</v>
      </c>
      <c r="M30" s="4">
        <v>200</v>
      </c>
      <c r="N30" s="3" t="s">
        <v>207</v>
      </c>
      <c r="O30" s="3" t="s">
        <v>2</v>
      </c>
      <c r="P30" s="6">
        <v>14</v>
      </c>
      <c r="Q30" s="3" t="s">
        <v>91</v>
      </c>
    </row>
    <row r="31" ht="46" customHeight="1" spans="1:17">
      <c r="A31" s="4">
        <v>28</v>
      </c>
      <c r="B31" s="5" t="s">
        <v>201</v>
      </c>
      <c r="C31" s="5" t="s">
        <v>37</v>
      </c>
      <c r="D31" s="3" t="s">
        <v>211</v>
      </c>
      <c r="E31" s="3" t="s">
        <v>212</v>
      </c>
      <c r="F31" s="3" t="s">
        <v>204</v>
      </c>
      <c r="G31" s="3" t="s">
        <v>84</v>
      </c>
      <c r="H31" s="3" t="s">
        <v>179</v>
      </c>
      <c r="I31" s="3" t="s">
        <v>85</v>
      </c>
      <c r="J31" s="3" t="s">
        <v>213</v>
      </c>
      <c r="K31" s="3" t="s">
        <v>214</v>
      </c>
      <c r="L31" s="3" t="s">
        <v>181</v>
      </c>
      <c r="M31" s="4">
        <v>204</v>
      </c>
      <c r="N31" s="3" t="s">
        <v>182</v>
      </c>
      <c r="O31" s="3" t="s">
        <v>2</v>
      </c>
      <c r="P31" s="6">
        <v>25</v>
      </c>
      <c r="Q31" s="3" t="s">
        <v>91</v>
      </c>
    </row>
    <row r="32" ht="46" customHeight="1" spans="1:17">
      <c r="A32" s="4">
        <v>29</v>
      </c>
      <c r="B32" s="5" t="s">
        <v>201</v>
      </c>
      <c r="C32" s="5" t="s">
        <v>29</v>
      </c>
      <c r="D32" s="3" t="s">
        <v>215</v>
      </c>
      <c r="E32" s="3" t="s">
        <v>216</v>
      </c>
      <c r="F32" s="3" t="s">
        <v>204</v>
      </c>
      <c r="G32" s="3" t="s">
        <v>84</v>
      </c>
      <c r="H32" s="3" t="s">
        <v>217</v>
      </c>
      <c r="I32" s="3" t="s">
        <v>85</v>
      </c>
      <c r="J32" s="3" t="s">
        <v>87</v>
      </c>
      <c r="K32" s="3" t="s">
        <v>218</v>
      </c>
      <c r="L32" s="3" t="s">
        <v>89</v>
      </c>
      <c r="M32" s="4">
        <v>200</v>
      </c>
      <c r="N32" s="3" t="s">
        <v>96</v>
      </c>
      <c r="O32" s="3" t="s">
        <v>2</v>
      </c>
      <c r="P32" s="6">
        <v>22</v>
      </c>
      <c r="Q32" s="3" t="s">
        <v>91</v>
      </c>
    </row>
    <row r="33" ht="46" customHeight="1" spans="1:17">
      <c r="A33" s="4">
        <v>30</v>
      </c>
      <c r="B33" s="5" t="s">
        <v>201</v>
      </c>
      <c r="C33" s="5" t="s">
        <v>29</v>
      </c>
      <c r="D33" s="3" t="s">
        <v>219</v>
      </c>
      <c r="E33" s="3" t="s">
        <v>220</v>
      </c>
      <c r="F33" s="3" t="s">
        <v>204</v>
      </c>
      <c r="G33" s="3" t="s">
        <v>84</v>
      </c>
      <c r="H33" s="3" t="s">
        <v>221</v>
      </c>
      <c r="I33" s="3" t="s">
        <v>85</v>
      </c>
      <c r="J33" s="3" t="s">
        <v>87</v>
      </c>
      <c r="K33" s="3" t="s">
        <v>222</v>
      </c>
      <c r="L33" s="3" t="s">
        <v>89</v>
      </c>
      <c r="M33" s="4">
        <v>200</v>
      </c>
      <c r="N33" s="3" t="s">
        <v>223</v>
      </c>
      <c r="O33" s="3" t="s">
        <v>2</v>
      </c>
      <c r="P33" s="6">
        <v>26</v>
      </c>
      <c r="Q33" s="3" t="s">
        <v>91</v>
      </c>
    </row>
    <row r="34" ht="46" customHeight="1" spans="1:17">
      <c r="A34" s="4">
        <v>31</v>
      </c>
      <c r="B34" s="5" t="s">
        <v>224</v>
      </c>
      <c r="C34" s="5" t="s">
        <v>34</v>
      </c>
      <c r="D34" s="3" t="s">
        <v>225</v>
      </c>
      <c r="E34" s="3" t="s">
        <v>226</v>
      </c>
      <c r="F34" s="3" t="s">
        <v>227</v>
      </c>
      <c r="G34" s="3" t="s">
        <v>84</v>
      </c>
      <c r="H34" s="3" t="s">
        <v>85</v>
      </c>
      <c r="I34" s="3" t="s">
        <v>85</v>
      </c>
      <c r="J34" s="3" t="s">
        <v>228</v>
      </c>
      <c r="K34" s="3" t="s">
        <v>229</v>
      </c>
      <c r="L34" s="3" t="s">
        <v>175</v>
      </c>
      <c r="M34" s="4">
        <v>201</v>
      </c>
      <c r="N34" s="3" t="s">
        <v>230</v>
      </c>
      <c r="O34" s="3" t="s">
        <v>2</v>
      </c>
      <c r="P34" s="6">
        <v>193</v>
      </c>
      <c r="Q34" s="3" t="s">
        <v>91</v>
      </c>
    </row>
    <row r="35" ht="46" customHeight="1" spans="1:17">
      <c r="A35" s="4">
        <v>32</v>
      </c>
      <c r="B35" s="5" t="s">
        <v>224</v>
      </c>
      <c r="C35" s="5" t="s">
        <v>41</v>
      </c>
      <c r="D35" s="3" t="s">
        <v>231</v>
      </c>
      <c r="E35" s="3" t="s">
        <v>232</v>
      </c>
      <c r="F35" s="3" t="s">
        <v>227</v>
      </c>
      <c r="G35" s="3" t="s">
        <v>84</v>
      </c>
      <c r="H35" s="3" t="s">
        <v>179</v>
      </c>
      <c r="I35" s="3" t="s">
        <v>85</v>
      </c>
      <c r="J35" s="3" t="s">
        <v>87</v>
      </c>
      <c r="K35" s="3" t="s">
        <v>180</v>
      </c>
      <c r="L35" s="3" t="s">
        <v>181</v>
      </c>
      <c r="M35" s="4">
        <v>204</v>
      </c>
      <c r="N35" s="3" t="s">
        <v>182</v>
      </c>
      <c r="O35" s="3" t="s">
        <v>2</v>
      </c>
      <c r="P35" s="6">
        <v>31</v>
      </c>
      <c r="Q35" s="3" t="s">
        <v>91</v>
      </c>
    </row>
    <row r="36" ht="46" customHeight="1" spans="1:17">
      <c r="A36" s="4">
        <v>33</v>
      </c>
      <c r="B36" s="5" t="s">
        <v>224</v>
      </c>
      <c r="C36" s="5" t="s">
        <v>29</v>
      </c>
      <c r="D36" s="3" t="s">
        <v>231</v>
      </c>
      <c r="E36" s="3" t="s">
        <v>233</v>
      </c>
      <c r="F36" s="3" t="s">
        <v>227</v>
      </c>
      <c r="G36" s="3" t="s">
        <v>84</v>
      </c>
      <c r="H36" s="3" t="s">
        <v>179</v>
      </c>
      <c r="I36" s="3" t="s">
        <v>85</v>
      </c>
      <c r="J36" s="3" t="s">
        <v>87</v>
      </c>
      <c r="K36" s="3" t="s">
        <v>180</v>
      </c>
      <c r="L36" s="3" t="s">
        <v>89</v>
      </c>
      <c r="M36" s="4">
        <v>200</v>
      </c>
      <c r="N36" s="3" t="s">
        <v>234</v>
      </c>
      <c r="O36" s="3" t="s">
        <v>2</v>
      </c>
      <c r="P36" s="6">
        <v>15</v>
      </c>
      <c r="Q36" s="3" t="s">
        <v>91</v>
      </c>
    </row>
    <row r="37" ht="46" customHeight="1" spans="1:17">
      <c r="A37" s="4">
        <v>34</v>
      </c>
      <c r="B37" s="5" t="s">
        <v>224</v>
      </c>
      <c r="C37" s="5" t="s">
        <v>37</v>
      </c>
      <c r="D37" s="3" t="s">
        <v>231</v>
      </c>
      <c r="E37" s="3" t="s">
        <v>235</v>
      </c>
      <c r="F37" s="3" t="s">
        <v>227</v>
      </c>
      <c r="G37" s="3" t="s">
        <v>84</v>
      </c>
      <c r="H37" s="3" t="s">
        <v>179</v>
      </c>
      <c r="I37" s="3" t="s">
        <v>85</v>
      </c>
      <c r="J37" s="3" t="s">
        <v>236</v>
      </c>
      <c r="K37" s="3" t="s">
        <v>237</v>
      </c>
      <c r="L37" s="3" t="s">
        <v>181</v>
      </c>
      <c r="M37" s="4">
        <v>204</v>
      </c>
      <c r="N37" s="3" t="s">
        <v>182</v>
      </c>
      <c r="O37" s="3" t="s">
        <v>2</v>
      </c>
      <c r="P37" s="6">
        <v>22</v>
      </c>
      <c r="Q37" s="3" t="s">
        <v>91</v>
      </c>
    </row>
    <row r="38" ht="46" customHeight="1" spans="1:17">
      <c r="A38" s="4">
        <v>35</v>
      </c>
      <c r="B38" s="5" t="s">
        <v>224</v>
      </c>
      <c r="C38" s="5" t="s">
        <v>34</v>
      </c>
      <c r="D38" s="3" t="s">
        <v>238</v>
      </c>
      <c r="E38" s="3" t="s">
        <v>239</v>
      </c>
      <c r="F38" s="3" t="s">
        <v>227</v>
      </c>
      <c r="G38" s="3" t="s">
        <v>84</v>
      </c>
      <c r="H38" s="3" t="s">
        <v>179</v>
      </c>
      <c r="I38" s="3" t="s">
        <v>85</v>
      </c>
      <c r="J38" s="3" t="s">
        <v>240</v>
      </c>
      <c r="K38" s="3" t="s">
        <v>241</v>
      </c>
      <c r="L38" s="3" t="s">
        <v>121</v>
      </c>
      <c r="M38" s="4">
        <v>200</v>
      </c>
      <c r="N38" s="3" t="s">
        <v>242</v>
      </c>
      <c r="O38" s="3" t="s">
        <v>2</v>
      </c>
      <c r="P38" s="6">
        <v>37</v>
      </c>
      <c r="Q38" s="3" t="s">
        <v>91</v>
      </c>
    </row>
    <row r="39" ht="46" customHeight="1" spans="1:17">
      <c r="A39" s="4">
        <v>36</v>
      </c>
      <c r="B39" s="5" t="s">
        <v>224</v>
      </c>
      <c r="C39" s="5" t="s">
        <v>41</v>
      </c>
      <c r="D39" s="3" t="s">
        <v>243</v>
      </c>
      <c r="E39" s="3" t="s">
        <v>244</v>
      </c>
      <c r="F39" s="3" t="s">
        <v>227</v>
      </c>
      <c r="G39" s="3" t="s">
        <v>84</v>
      </c>
      <c r="H39" s="3" t="s">
        <v>245</v>
      </c>
      <c r="I39" s="3" t="s">
        <v>85</v>
      </c>
      <c r="J39" s="3" t="s">
        <v>87</v>
      </c>
      <c r="K39" s="3" t="s">
        <v>246</v>
      </c>
      <c r="L39" s="3" t="s">
        <v>181</v>
      </c>
      <c r="M39" s="4">
        <v>204</v>
      </c>
      <c r="N39" s="3" t="s">
        <v>182</v>
      </c>
      <c r="O39" s="3" t="s">
        <v>2</v>
      </c>
      <c r="P39" s="6">
        <v>22</v>
      </c>
      <c r="Q39" s="3" t="s">
        <v>91</v>
      </c>
    </row>
    <row r="40" ht="46" customHeight="1" spans="1:17">
      <c r="A40" s="4">
        <v>37</v>
      </c>
      <c r="B40" s="5" t="s">
        <v>224</v>
      </c>
      <c r="C40" s="5" t="s">
        <v>37</v>
      </c>
      <c r="D40" s="3" t="s">
        <v>247</v>
      </c>
      <c r="E40" s="3" t="s">
        <v>248</v>
      </c>
      <c r="F40" s="3" t="s">
        <v>227</v>
      </c>
      <c r="G40" s="3" t="s">
        <v>84</v>
      </c>
      <c r="H40" s="3" t="s">
        <v>179</v>
      </c>
      <c r="I40" s="3" t="s">
        <v>85</v>
      </c>
      <c r="J40" s="3" t="s">
        <v>249</v>
      </c>
      <c r="K40" s="3" t="s">
        <v>250</v>
      </c>
      <c r="L40" s="3" t="s">
        <v>181</v>
      </c>
      <c r="M40" s="4">
        <v>204</v>
      </c>
      <c r="N40" s="3" t="s">
        <v>182</v>
      </c>
      <c r="O40" s="3" t="s">
        <v>2</v>
      </c>
      <c r="P40" s="6">
        <v>17</v>
      </c>
      <c r="Q40" s="3" t="s">
        <v>91</v>
      </c>
    </row>
    <row r="41" ht="46" customHeight="1" spans="1:17">
      <c r="A41" s="4">
        <v>38</v>
      </c>
      <c r="B41" s="5" t="s">
        <v>224</v>
      </c>
      <c r="C41" s="5" t="s">
        <v>29</v>
      </c>
      <c r="D41" s="3" t="s">
        <v>251</v>
      </c>
      <c r="E41" s="3" t="s">
        <v>252</v>
      </c>
      <c r="F41" s="3" t="s">
        <v>227</v>
      </c>
      <c r="G41" s="3" t="s">
        <v>84</v>
      </c>
      <c r="H41" s="3" t="s">
        <v>99</v>
      </c>
      <c r="I41" s="3" t="s">
        <v>85</v>
      </c>
      <c r="J41" s="3" t="s">
        <v>87</v>
      </c>
      <c r="K41" s="3" t="s">
        <v>253</v>
      </c>
      <c r="L41" s="3" t="s">
        <v>89</v>
      </c>
      <c r="M41" s="4">
        <v>200</v>
      </c>
      <c r="N41" s="3" t="s">
        <v>96</v>
      </c>
      <c r="O41" s="3" t="s">
        <v>2</v>
      </c>
      <c r="P41" s="6">
        <v>39</v>
      </c>
      <c r="Q41" s="3" t="s">
        <v>91</v>
      </c>
    </row>
    <row r="42" ht="46" customHeight="1" spans="1:17">
      <c r="A42" s="4">
        <v>39</v>
      </c>
      <c r="B42" s="5" t="s">
        <v>224</v>
      </c>
      <c r="C42" s="5" t="s">
        <v>29</v>
      </c>
      <c r="D42" s="3" t="s">
        <v>254</v>
      </c>
      <c r="E42" s="3" t="s">
        <v>255</v>
      </c>
      <c r="F42" s="3" t="s">
        <v>227</v>
      </c>
      <c r="G42" s="3" t="s">
        <v>84</v>
      </c>
      <c r="H42" s="3" t="s">
        <v>99</v>
      </c>
      <c r="I42" s="3" t="s">
        <v>85</v>
      </c>
      <c r="J42" s="3" t="s">
        <v>87</v>
      </c>
      <c r="K42" s="3" t="s">
        <v>253</v>
      </c>
      <c r="L42" s="3" t="s">
        <v>89</v>
      </c>
      <c r="M42" s="4">
        <v>200</v>
      </c>
      <c r="N42" s="3" t="s">
        <v>96</v>
      </c>
      <c r="O42" s="3" t="s">
        <v>2</v>
      </c>
      <c r="P42" s="6">
        <v>34</v>
      </c>
      <c r="Q42" s="3" t="s">
        <v>91</v>
      </c>
    </row>
    <row r="43" ht="46" customHeight="1" spans="1:17">
      <c r="A43" s="4">
        <v>40</v>
      </c>
      <c r="B43" s="5" t="s">
        <v>224</v>
      </c>
      <c r="C43" s="5" t="s">
        <v>29</v>
      </c>
      <c r="D43" s="3" t="s">
        <v>256</v>
      </c>
      <c r="E43" s="3" t="s">
        <v>257</v>
      </c>
      <c r="F43" s="3" t="s">
        <v>227</v>
      </c>
      <c r="G43" s="3" t="s">
        <v>84</v>
      </c>
      <c r="H43" s="3" t="s">
        <v>85</v>
      </c>
      <c r="I43" s="3" t="s">
        <v>85</v>
      </c>
      <c r="J43" s="3" t="s">
        <v>87</v>
      </c>
      <c r="K43" s="3" t="s">
        <v>109</v>
      </c>
      <c r="L43" s="3" t="s">
        <v>89</v>
      </c>
      <c r="M43" s="4">
        <v>200</v>
      </c>
      <c r="N43" s="3" t="s">
        <v>258</v>
      </c>
      <c r="O43" s="3" t="s">
        <v>2</v>
      </c>
      <c r="P43" s="6">
        <v>66</v>
      </c>
      <c r="Q43" s="3" t="s">
        <v>91</v>
      </c>
    </row>
    <row r="44" ht="46" customHeight="1" spans="1:17">
      <c r="A44" s="4">
        <v>41</v>
      </c>
      <c r="B44" s="5" t="s">
        <v>259</v>
      </c>
      <c r="C44" s="5" t="s">
        <v>41</v>
      </c>
      <c r="D44" s="3" t="s">
        <v>260</v>
      </c>
      <c r="E44" s="3" t="s">
        <v>261</v>
      </c>
      <c r="F44" s="3" t="s">
        <v>262</v>
      </c>
      <c r="G44" s="3" t="s">
        <v>84</v>
      </c>
      <c r="H44" s="3" t="s">
        <v>179</v>
      </c>
      <c r="I44" s="3" t="s">
        <v>85</v>
      </c>
      <c r="J44" s="3" t="s">
        <v>87</v>
      </c>
      <c r="K44" s="3" t="s">
        <v>180</v>
      </c>
      <c r="L44" s="3" t="s">
        <v>181</v>
      </c>
      <c r="M44" s="4">
        <v>204</v>
      </c>
      <c r="N44" s="3" t="s">
        <v>182</v>
      </c>
      <c r="O44" s="3" t="s">
        <v>2</v>
      </c>
      <c r="P44" s="6">
        <v>16</v>
      </c>
      <c r="Q44" s="3" t="s">
        <v>91</v>
      </c>
    </row>
    <row r="45" ht="46" customHeight="1" spans="1:17">
      <c r="A45" s="4">
        <v>42</v>
      </c>
      <c r="B45" s="5" t="s">
        <v>259</v>
      </c>
      <c r="C45" s="5" t="s">
        <v>37</v>
      </c>
      <c r="D45" s="3" t="s">
        <v>263</v>
      </c>
      <c r="E45" s="3" t="s">
        <v>264</v>
      </c>
      <c r="F45" s="3" t="s">
        <v>262</v>
      </c>
      <c r="G45" s="3" t="s">
        <v>84</v>
      </c>
      <c r="H45" s="3" t="s">
        <v>179</v>
      </c>
      <c r="I45" s="3" t="s">
        <v>85</v>
      </c>
      <c r="J45" s="3" t="s">
        <v>87</v>
      </c>
      <c r="K45" s="3" t="s">
        <v>180</v>
      </c>
      <c r="L45" s="3" t="s">
        <v>181</v>
      </c>
      <c r="M45" s="4">
        <v>204</v>
      </c>
      <c r="N45" s="3" t="s">
        <v>182</v>
      </c>
      <c r="O45" s="3" t="s">
        <v>2</v>
      </c>
      <c r="P45" s="6">
        <v>45</v>
      </c>
      <c r="Q45" s="3" t="s">
        <v>91</v>
      </c>
    </row>
    <row r="46" ht="46" customHeight="1" spans="1:17">
      <c r="A46" s="4">
        <v>43</v>
      </c>
      <c r="B46" s="5" t="s">
        <v>259</v>
      </c>
      <c r="C46" s="5" t="s">
        <v>29</v>
      </c>
      <c r="D46" s="3" t="s">
        <v>265</v>
      </c>
      <c r="E46" s="3" t="s">
        <v>266</v>
      </c>
      <c r="F46" s="3" t="s">
        <v>262</v>
      </c>
      <c r="G46" s="3" t="s">
        <v>84</v>
      </c>
      <c r="H46" s="3" t="s">
        <v>103</v>
      </c>
      <c r="I46" s="3" t="s">
        <v>85</v>
      </c>
      <c r="J46" s="3" t="s">
        <v>87</v>
      </c>
      <c r="K46" s="3" t="s">
        <v>267</v>
      </c>
      <c r="L46" s="3" t="s">
        <v>89</v>
      </c>
      <c r="M46" s="4">
        <v>200</v>
      </c>
      <c r="N46" s="3" t="s">
        <v>268</v>
      </c>
      <c r="O46" s="3" t="s">
        <v>2</v>
      </c>
      <c r="P46" s="6">
        <v>31</v>
      </c>
      <c r="Q46" s="3" t="s">
        <v>91</v>
      </c>
    </row>
    <row r="47" ht="46" customHeight="1" spans="1:17">
      <c r="A47" s="4">
        <v>44</v>
      </c>
      <c r="B47" s="5" t="s">
        <v>259</v>
      </c>
      <c r="C47" s="5" t="s">
        <v>37</v>
      </c>
      <c r="D47" s="3" t="s">
        <v>269</v>
      </c>
      <c r="E47" s="3" t="s">
        <v>270</v>
      </c>
      <c r="F47" s="3" t="s">
        <v>262</v>
      </c>
      <c r="G47" s="3" t="s">
        <v>84</v>
      </c>
      <c r="H47" s="3" t="s">
        <v>103</v>
      </c>
      <c r="I47" s="3" t="s">
        <v>85</v>
      </c>
      <c r="J47" s="3" t="s">
        <v>87</v>
      </c>
      <c r="K47" s="3" t="s">
        <v>267</v>
      </c>
      <c r="L47" s="3" t="s">
        <v>181</v>
      </c>
      <c r="M47" s="4">
        <v>204</v>
      </c>
      <c r="N47" s="3" t="s">
        <v>182</v>
      </c>
      <c r="O47" s="3" t="s">
        <v>2</v>
      </c>
      <c r="P47" s="6">
        <v>24</v>
      </c>
      <c r="Q47" s="3" t="s">
        <v>91</v>
      </c>
    </row>
    <row r="48" ht="46" customHeight="1" spans="1:17">
      <c r="A48" s="4">
        <v>45</v>
      </c>
      <c r="B48" s="5" t="s">
        <v>259</v>
      </c>
      <c r="C48" s="5" t="s">
        <v>29</v>
      </c>
      <c r="D48" s="3" t="s">
        <v>271</v>
      </c>
      <c r="E48" s="3" t="s">
        <v>272</v>
      </c>
      <c r="F48" s="3" t="s">
        <v>262</v>
      </c>
      <c r="G48" s="3" t="s">
        <v>84</v>
      </c>
      <c r="H48" s="3" t="s">
        <v>103</v>
      </c>
      <c r="I48" s="3" t="s">
        <v>85</v>
      </c>
      <c r="J48" s="3" t="s">
        <v>87</v>
      </c>
      <c r="K48" s="3" t="s">
        <v>267</v>
      </c>
      <c r="L48" s="3" t="s">
        <v>89</v>
      </c>
      <c r="M48" s="4">
        <v>200</v>
      </c>
      <c r="N48" s="3" t="s">
        <v>273</v>
      </c>
      <c r="O48" s="3" t="s">
        <v>2</v>
      </c>
      <c r="P48" s="6">
        <v>26</v>
      </c>
      <c r="Q48" s="3" t="s">
        <v>91</v>
      </c>
    </row>
    <row r="49" ht="46" customHeight="1" spans="1:17">
      <c r="A49" s="4">
        <v>46</v>
      </c>
      <c r="B49" s="5" t="s">
        <v>274</v>
      </c>
      <c r="C49" s="5" t="s">
        <v>29</v>
      </c>
      <c r="D49" s="3" t="s">
        <v>275</v>
      </c>
      <c r="E49" s="3" t="s">
        <v>276</v>
      </c>
      <c r="F49" s="3" t="s">
        <v>277</v>
      </c>
      <c r="G49" s="3" t="s">
        <v>84</v>
      </c>
      <c r="H49" s="3" t="s">
        <v>278</v>
      </c>
      <c r="I49" s="3" t="s">
        <v>85</v>
      </c>
      <c r="J49" s="3" t="s">
        <v>87</v>
      </c>
      <c r="K49" s="3" t="s">
        <v>279</v>
      </c>
      <c r="L49" s="3" t="s">
        <v>89</v>
      </c>
      <c r="M49" s="4">
        <v>200</v>
      </c>
      <c r="N49" s="3" t="s">
        <v>280</v>
      </c>
      <c r="O49" s="3" t="s">
        <v>2</v>
      </c>
      <c r="P49" s="6">
        <v>38</v>
      </c>
      <c r="Q49" s="3" t="s">
        <v>91</v>
      </c>
    </row>
    <row r="50" ht="46" customHeight="1" spans="1:17">
      <c r="A50" s="4">
        <v>47</v>
      </c>
      <c r="B50" s="5" t="s">
        <v>274</v>
      </c>
      <c r="C50" s="5" t="s">
        <v>29</v>
      </c>
      <c r="D50" s="3" t="s">
        <v>281</v>
      </c>
      <c r="E50" s="3" t="s">
        <v>282</v>
      </c>
      <c r="F50" s="3" t="s">
        <v>277</v>
      </c>
      <c r="G50" s="3" t="s">
        <v>84</v>
      </c>
      <c r="H50" s="3" t="s">
        <v>278</v>
      </c>
      <c r="I50" s="3" t="s">
        <v>85</v>
      </c>
      <c r="J50" s="3" t="s">
        <v>87</v>
      </c>
      <c r="K50" s="3" t="s">
        <v>279</v>
      </c>
      <c r="L50" s="3" t="s">
        <v>89</v>
      </c>
      <c r="M50" s="4">
        <v>200</v>
      </c>
      <c r="N50" s="3" t="s">
        <v>283</v>
      </c>
      <c r="O50" s="3" t="s">
        <v>2</v>
      </c>
      <c r="P50" s="6">
        <v>66</v>
      </c>
      <c r="Q50" s="3" t="s">
        <v>91</v>
      </c>
    </row>
    <row r="51" ht="46" customHeight="1" spans="1:17">
      <c r="A51" s="4">
        <v>48</v>
      </c>
      <c r="B51" s="5" t="s">
        <v>274</v>
      </c>
      <c r="C51" s="5" t="s">
        <v>29</v>
      </c>
      <c r="D51" s="3" t="s">
        <v>284</v>
      </c>
      <c r="E51" s="3" t="s">
        <v>285</v>
      </c>
      <c r="F51" s="3" t="s">
        <v>277</v>
      </c>
      <c r="G51" s="3" t="s">
        <v>84</v>
      </c>
      <c r="H51" s="3" t="s">
        <v>286</v>
      </c>
      <c r="I51" s="3" t="s">
        <v>85</v>
      </c>
      <c r="J51" s="3" t="s">
        <v>87</v>
      </c>
      <c r="K51" s="3" t="s">
        <v>287</v>
      </c>
      <c r="L51" s="3" t="s">
        <v>89</v>
      </c>
      <c r="M51" s="4">
        <v>200</v>
      </c>
      <c r="N51" s="3" t="s">
        <v>288</v>
      </c>
      <c r="O51" s="3" t="s">
        <v>2</v>
      </c>
      <c r="P51" s="6">
        <v>20</v>
      </c>
      <c r="Q51" s="3" t="s">
        <v>91</v>
      </c>
    </row>
    <row r="52" ht="46" customHeight="1" spans="1:17">
      <c r="A52" s="4">
        <v>49</v>
      </c>
      <c r="B52" s="5" t="s">
        <v>274</v>
      </c>
      <c r="C52" s="5" t="s">
        <v>34</v>
      </c>
      <c r="D52" s="3" t="s">
        <v>289</v>
      </c>
      <c r="E52" s="3" t="s">
        <v>290</v>
      </c>
      <c r="F52" s="3" t="s">
        <v>277</v>
      </c>
      <c r="G52" s="3" t="s">
        <v>84</v>
      </c>
      <c r="H52" s="3" t="s">
        <v>286</v>
      </c>
      <c r="I52" s="3" t="s">
        <v>85</v>
      </c>
      <c r="J52" s="3" t="s">
        <v>291</v>
      </c>
      <c r="K52" s="3" t="s">
        <v>292</v>
      </c>
      <c r="L52" s="3" t="s">
        <v>121</v>
      </c>
      <c r="M52" s="4">
        <v>200</v>
      </c>
      <c r="N52" s="3" t="s">
        <v>293</v>
      </c>
      <c r="O52" s="3" t="s">
        <v>2</v>
      </c>
      <c r="P52" s="6">
        <v>57</v>
      </c>
      <c r="Q52" s="3" t="s">
        <v>91</v>
      </c>
    </row>
    <row r="53" ht="46" customHeight="1" spans="1:17">
      <c r="A53" s="4">
        <v>50</v>
      </c>
      <c r="B53" s="5" t="s">
        <v>274</v>
      </c>
      <c r="C53" s="5" t="s">
        <v>29</v>
      </c>
      <c r="D53" s="3" t="s">
        <v>294</v>
      </c>
      <c r="E53" s="3" t="s">
        <v>295</v>
      </c>
      <c r="F53" s="3" t="s">
        <v>277</v>
      </c>
      <c r="G53" s="3" t="s">
        <v>84</v>
      </c>
      <c r="H53" s="3" t="s">
        <v>286</v>
      </c>
      <c r="I53" s="3" t="s">
        <v>85</v>
      </c>
      <c r="J53" s="3" t="s">
        <v>87</v>
      </c>
      <c r="K53" s="3" t="s">
        <v>287</v>
      </c>
      <c r="L53" s="3" t="s">
        <v>89</v>
      </c>
      <c r="M53" s="4">
        <v>200</v>
      </c>
      <c r="N53" s="3" t="s">
        <v>296</v>
      </c>
      <c r="O53" s="3" t="s">
        <v>2</v>
      </c>
      <c r="P53" s="6">
        <v>39</v>
      </c>
      <c r="Q53" s="3" t="s">
        <v>91</v>
      </c>
    </row>
    <row r="54" ht="46" customHeight="1" spans="1:17">
      <c r="A54" s="4">
        <v>51</v>
      </c>
      <c r="B54" s="5" t="s">
        <v>274</v>
      </c>
      <c r="C54" s="5" t="s">
        <v>29</v>
      </c>
      <c r="D54" s="3" t="s">
        <v>297</v>
      </c>
      <c r="E54" s="3" t="s">
        <v>298</v>
      </c>
      <c r="F54" s="3" t="s">
        <v>277</v>
      </c>
      <c r="G54" s="3" t="s">
        <v>84</v>
      </c>
      <c r="H54" s="3" t="s">
        <v>85</v>
      </c>
      <c r="I54" s="3" t="s">
        <v>85</v>
      </c>
      <c r="J54" s="3" t="s">
        <v>87</v>
      </c>
      <c r="K54" s="3" t="s">
        <v>109</v>
      </c>
      <c r="L54" s="3" t="s">
        <v>89</v>
      </c>
      <c r="M54" s="4">
        <v>200</v>
      </c>
      <c r="N54" s="3" t="s">
        <v>299</v>
      </c>
      <c r="O54" s="3" t="s">
        <v>2</v>
      </c>
      <c r="P54" s="6">
        <v>13</v>
      </c>
      <c r="Q54" s="3" t="s">
        <v>91</v>
      </c>
    </row>
    <row r="55" ht="46" customHeight="1" spans="1:17">
      <c r="A55" s="4">
        <v>52</v>
      </c>
      <c r="B55" s="5" t="s">
        <v>274</v>
      </c>
      <c r="C55" s="5" t="s">
        <v>29</v>
      </c>
      <c r="D55" s="3" t="s">
        <v>300</v>
      </c>
      <c r="E55" s="3" t="s">
        <v>301</v>
      </c>
      <c r="F55" s="3" t="s">
        <v>277</v>
      </c>
      <c r="G55" s="3" t="s">
        <v>84</v>
      </c>
      <c r="H55" s="3" t="s">
        <v>85</v>
      </c>
      <c r="I55" s="3" t="s">
        <v>85</v>
      </c>
      <c r="J55" s="3" t="s">
        <v>87</v>
      </c>
      <c r="K55" s="3" t="s">
        <v>109</v>
      </c>
      <c r="L55" s="3" t="s">
        <v>89</v>
      </c>
      <c r="M55" s="4">
        <v>200</v>
      </c>
      <c r="N55" s="3" t="s">
        <v>302</v>
      </c>
      <c r="O55" s="3" t="s">
        <v>2</v>
      </c>
      <c r="P55" s="6">
        <v>22</v>
      </c>
      <c r="Q55" s="3" t="s">
        <v>91</v>
      </c>
    </row>
    <row r="56" ht="46" customHeight="1" spans="1:17">
      <c r="A56" s="4">
        <v>53</v>
      </c>
      <c r="B56" s="5" t="s">
        <v>303</v>
      </c>
      <c r="C56" s="5" t="s">
        <v>29</v>
      </c>
      <c r="D56" s="3" t="s">
        <v>304</v>
      </c>
      <c r="E56" s="3" t="s">
        <v>305</v>
      </c>
      <c r="F56" s="3" t="s">
        <v>306</v>
      </c>
      <c r="G56" s="3" t="s">
        <v>84</v>
      </c>
      <c r="H56" s="3" t="s">
        <v>85</v>
      </c>
      <c r="I56" s="3" t="s">
        <v>85</v>
      </c>
      <c r="J56" s="3" t="s">
        <v>87</v>
      </c>
      <c r="K56" s="3" t="s">
        <v>109</v>
      </c>
      <c r="L56" s="3" t="s">
        <v>89</v>
      </c>
      <c r="M56" s="4">
        <v>200</v>
      </c>
      <c r="N56" s="3" t="s">
        <v>307</v>
      </c>
      <c r="O56" s="3" t="s">
        <v>2</v>
      </c>
      <c r="P56" s="6">
        <v>39</v>
      </c>
      <c r="Q56" s="3" t="s">
        <v>91</v>
      </c>
    </row>
    <row r="57" ht="46" customHeight="1" spans="1:17">
      <c r="A57" s="4">
        <v>54</v>
      </c>
      <c r="B57" s="5" t="s">
        <v>303</v>
      </c>
      <c r="C57" s="5" t="s">
        <v>34</v>
      </c>
      <c r="D57" s="3" t="s">
        <v>304</v>
      </c>
      <c r="E57" s="3" t="s">
        <v>308</v>
      </c>
      <c r="F57" s="3" t="s">
        <v>306</v>
      </c>
      <c r="G57" s="3" t="s">
        <v>84</v>
      </c>
      <c r="H57" s="3" t="s">
        <v>85</v>
      </c>
      <c r="I57" s="3" t="s">
        <v>85</v>
      </c>
      <c r="J57" s="3" t="s">
        <v>309</v>
      </c>
      <c r="K57" s="3" t="s">
        <v>310</v>
      </c>
      <c r="L57" s="3" t="s">
        <v>175</v>
      </c>
      <c r="M57" s="4">
        <v>201</v>
      </c>
      <c r="N57" s="3" t="s">
        <v>311</v>
      </c>
      <c r="O57" s="3" t="s">
        <v>2</v>
      </c>
      <c r="P57" s="6">
        <v>173</v>
      </c>
      <c r="Q57" s="3" t="s">
        <v>91</v>
      </c>
    </row>
    <row r="58" ht="46" customHeight="1" spans="1:17">
      <c r="A58" s="4">
        <v>55</v>
      </c>
      <c r="B58" s="5" t="s">
        <v>303</v>
      </c>
      <c r="C58" s="5" t="s">
        <v>41</v>
      </c>
      <c r="D58" s="3" t="s">
        <v>312</v>
      </c>
      <c r="E58" s="3" t="s">
        <v>313</v>
      </c>
      <c r="F58" s="3" t="s">
        <v>306</v>
      </c>
      <c r="G58" s="3" t="s">
        <v>84</v>
      </c>
      <c r="H58" s="3" t="s">
        <v>179</v>
      </c>
      <c r="I58" s="3" t="s">
        <v>85</v>
      </c>
      <c r="J58" s="3" t="s">
        <v>87</v>
      </c>
      <c r="K58" s="3" t="s">
        <v>314</v>
      </c>
      <c r="L58" s="3" t="s">
        <v>181</v>
      </c>
      <c r="M58" s="4">
        <v>204</v>
      </c>
      <c r="N58" s="3" t="s">
        <v>182</v>
      </c>
      <c r="O58" s="3" t="s">
        <v>2</v>
      </c>
      <c r="P58" s="6">
        <v>21</v>
      </c>
      <c r="Q58" s="3" t="s">
        <v>91</v>
      </c>
    </row>
    <row r="59" ht="46" customHeight="1" spans="1:17">
      <c r="A59" s="4">
        <v>56</v>
      </c>
      <c r="B59" s="5" t="s">
        <v>303</v>
      </c>
      <c r="C59" s="5" t="s">
        <v>29</v>
      </c>
      <c r="D59" s="3" t="s">
        <v>312</v>
      </c>
      <c r="E59" s="3" t="s">
        <v>315</v>
      </c>
      <c r="F59" s="3" t="s">
        <v>306</v>
      </c>
      <c r="G59" s="3" t="s">
        <v>84</v>
      </c>
      <c r="H59" s="3" t="s">
        <v>179</v>
      </c>
      <c r="I59" s="3" t="s">
        <v>85</v>
      </c>
      <c r="J59" s="3" t="s">
        <v>87</v>
      </c>
      <c r="K59" s="3" t="s">
        <v>180</v>
      </c>
      <c r="L59" s="3" t="s">
        <v>89</v>
      </c>
      <c r="M59" s="4">
        <v>200</v>
      </c>
      <c r="N59" s="3" t="s">
        <v>316</v>
      </c>
      <c r="O59" s="3" t="s">
        <v>2</v>
      </c>
      <c r="P59" s="6">
        <v>13</v>
      </c>
      <c r="Q59" s="3" t="s">
        <v>91</v>
      </c>
    </row>
    <row r="60" ht="46" customHeight="1" spans="1:17">
      <c r="A60" s="4">
        <v>57</v>
      </c>
      <c r="B60" s="5" t="s">
        <v>303</v>
      </c>
      <c r="C60" s="5" t="s">
        <v>37</v>
      </c>
      <c r="D60" s="3" t="s">
        <v>312</v>
      </c>
      <c r="E60" s="3" t="s">
        <v>317</v>
      </c>
      <c r="F60" s="3" t="s">
        <v>306</v>
      </c>
      <c r="G60" s="3" t="s">
        <v>84</v>
      </c>
      <c r="H60" s="3" t="s">
        <v>179</v>
      </c>
      <c r="I60" s="3" t="s">
        <v>85</v>
      </c>
      <c r="J60" s="3" t="s">
        <v>318</v>
      </c>
      <c r="K60" s="3" t="s">
        <v>319</v>
      </c>
      <c r="L60" s="3" t="s">
        <v>181</v>
      </c>
      <c r="M60" s="4">
        <v>204</v>
      </c>
      <c r="N60" s="3" t="s">
        <v>182</v>
      </c>
      <c r="O60" s="3" t="s">
        <v>2</v>
      </c>
      <c r="P60" s="6">
        <v>30</v>
      </c>
      <c r="Q60" s="3" t="s">
        <v>91</v>
      </c>
    </row>
    <row r="61" ht="46" customHeight="1" spans="1:17">
      <c r="A61" s="4">
        <v>58</v>
      </c>
      <c r="B61" s="5" t="s">
        <v>303</v>
      </c>
      <c r="C61" s="5" t="s">
        <v>34</v>
      </c>
      <c r="D61" s="3" t="s">
        <v>320</v>
      </c>
      <c r="E61" s="3" t="s">
        <v>321</v>
      </c>
      <c r="F61" s="3" t="s">
        <v>306</v>
      </c>
      <c r="G61" s="3" t="s">
        <v>84</v>
      </c>
      <c r="H61" s="3" t="s">
        <v>179</v>
      </c>
      <c r="I61" s="3" t="s">
        <v>85</v>
      </c>
      <c r="J61" s="3" t="s">
        <v>87</v>
      </c>
      <c r="K61" s="3" t="s">
        <v>314</v>
      </c>
      <c r="L61" s="3" t="s">
        <v>121</v>
      </c>
      <c r="M61" s="4">
        <v>200</v>
      </c>
      <c r="N61" s="3" t="s">
        <v>322</v>
      </c>
      <c r="O61" s="3" t="s">
        <v>2</v>
      </c>
      <c r="P61" s="6">
        <v>22</v>
      </c>
      <c r="Q61" s="3" t="s">
        <v>91</v>
      </c>
    </row>
    <row r="62" ht="46" customHeight="1" spans="1:17">
      <c r="A62" s="4">
        <v>59</v>
      </c>
      <c r="B62" s="5" t="s">
        <v>303</v>
      </c>
      <c r="C62" s="5" t="s">
        <v>34</v>
      </c>
      <c r="D62" s="3" t="s">
        <v>323</v>
      </c>
      <c r="E62" s="3" t="s">
        <v>324</v>
      </c>
      <c r="F62" s="3" t="s">
        <v>306</v>
      </c>
      <c r="G62" s="3" t="s">
        <v>84</v>
      </c>
      <c r="H62" s="3" t="s">
        <v>179</v>
      </c>
      <c r="I62" s="3" t="s">
        <v>85</v>
      </c>
      <c r="J62" s="3" t="s">
        <v>325</v>
      </c>
      <c r="K62" s="3" t="s">
        <v>326</v>
      </c>
      <c r="L62" s="3" t="s">
        <v>121</v>
      </c>
      <c r="M62" s="4">
        <v>200</v>
      </c>
      <c r="N62" s="3" t="s">
        <v>327</v>
      </c>
      <c r="O62" s="3" t="s">
        <v>2</v>
      </c>
      <c r="P62" s="6">
        <v>64</v>
      </c>
      <c r="Q62" s="3" t="s">
        <v>91</v>
      </c>
    </row>
    <row r="63" ht="46" customHeight="1" spans="1:17">
      <c r="A63" s="4">
        <v>60</v>
      </c>
      <c r="B63" s="5" t="s">
        <v>303</v>
      </c>
      <c r="C63" s="5" t="s">
        <v>29</v>
      </c>
      <c r="D63" s="3" t="s">
        <v>328</v>
      </c>
      <c r="E63" s="3" t="s">
        <v>329</v>
      </c>
      <c r="F63" s="3" t="s">
        <v>330</v>
      </c>
      <c r="G63" s="3" t="s">
        <v>84</v>
      </c>
      <c r="H63" s="3" t="s">
        <v>179</v>
      </c>
      <c r="I63" s="3" t="s">
        <v>85</v>
      </c>
      <c r="J63" s="3" t="s">
        <v>87</v>
      </c>
      <c r="K63" s="3" t="s">
        <v>314</v>
      </c>
      <c r="L63" s="3" t="s">
        <v>89</v>
      </c>
      <c r="M63" s="4">
        <v>200</v>
      </c>
      <c r="N63" s="3" t="s">
        <v>331</v>
      </c>
      <c r="O63" s="3" t="s">
        <v>2</v>
      </c>
      <c r="P63" s="6">
        <v>115</v>
      </c>
      <c r="Q63" s="3" t="s">
        <v>91</v>
      </c>
    </row>
    <row r="64" ht="46" customHeight="1" spans="1:17">
      <c r="A64" s="4">
        <v>61</v>
      </c>
      <c r="B64" s="5" t="s">
        <v>332</v>
      </c>
      <c r="C64" s="5" t="s">
        <v>29</v>
      </c>
      <c r="D64" s="3" t="s">
        <v>333</v>
      </c>
      <c r="E64" s="3" t="s">
        <v>334</v>
      </c>
      <c r="F64" s="3" t="s">
        <v>335</v>
      </c>
      <c r="G64" s="3" t="s">
        <v>84</v>
      </c>
      <c r="H64" s="3" t="s">
        <v>85</v>
      </c>
      <c r="I64" s="3" t="s">
        <v>85</v>
      </c>
      <c r="J64" s="3" t="s">
        <v>87</v>
      </c>
      <c r="K64" s="3" t="s">
        <v>109</v>
      </c>
      <c r="L64" s="3" t="s">
        <v>89</v>
      </c>
      <c r="M64" s="4">
        <v>200</v>
      </c>
      <c r="N64" s="3" t="s">
        <v>336</v>
      </c>
      <c r="O64" s="3" t="s">
        <v>2</v>
      </c>
      <c r="P64" s="6">
        <v>18</v>
      </c>
      <c r="Q64" s="3" t="s">
        <v>91</v>
      </c>
    </row>
    <row r="65" ht="46" customHeight="1" spans="1:17">
      <c r="A65" s="4">
        <v>62</v>
      </c>
      <c r="B65" s="5" t="s">
        <v>332</v>
      </c>
      <c r="C65" s="5" t="s">
        <v>34</v>
      </c>
      <c r="D65" s="3" t="s">
        <v>333</v>
      </c>
      <c r="E65" s="3" t="s">
        <v>337</v>
      </c>
      <c r="F65" s="3" t="s">
        <v>335</v>
      </c>
      <c r="G65" s="3" t="s">
        <v>84</v>
      </c>
      <c r="H65" s="3" t="s">
        <v>85</v>
      </c>
      <c r="I65" s="3" t="s">
        <v>85</v>
      </c>
      <c r="J65" s="3" t="s">
        <v>338</v>
      </c>
      <c r="K65" s="3" t="s">
        <v>339</v>
      </c>
      <c r="L65" s="3" t="s">
        <v>175</v>
      </c>
      <c r="M65" s="4">
        <v>201</v>
      </c>
      <c r="N65" s="3" t="s">
        <v>340</v>
      </c>
      <c r="O65" s="3" t="s">
        <v>2</v>
      </c>
      <c r="P65" s="6">
        <v>40</v>
      </c>
      <c r="Q65" s="3" t="s">
        <v>91</v>
      </c>
    </row>
    <row r="66" ht="46" customHeight="1" spans="1:17">
      <c r="A66" s="4">
        <v>63</v>
      </c>
      <c r="B66" s="5" t="s">
        <v>332</v>
      </c>
      <c r="C66" s="5" t="s">
        <v>29</v>
      </c>
      <c r="D66" s="3" t="s">
        <v>341</v>
      </c>
      <c r="E66" s="3" t="s">
        <v>342</v>
      </c>
      <c r="F66" s="3" t="s">
        <v>335</v>
      </c>
      <c r="G66" s="3" t="s">
        <v>84</v>
      </c>
      <c r="H66" s="3" t="s">
        <v>179</v>
      </c>
      <c r="I66" s="3" t="s">
        <v>85</v>
      </c>
      <c r="J66" s="3" t="s">
        <v>87</v>
      </c>
      <c r="K66" s="3" t="s">
        <v>343</v>
      </c>
      <c r="L66" s="3" t="s">
        <v>89</v>
      </c>
      <c r="M66" s="4">
        <v>200</v>
      </c>
      <c r="N66" s="3" t="s">
        <v>340</v>
      </c>
      <c r="O66" s="3" t="s">
        <v>2</v>
      </c>
      <c r="P66" s="6">
        <v>29</v>
      </c>
      <c r="Q66" s="3" t="s">
        <v>91</v>
      </c>
    </row>
    <row r="67" ht="46" customHeight="1" spans="1:17">
      <c r="A67" s="4">
        <v>64</v>
      </c>
      <c r="B67" s="5" t="s">
        <v>332</v>
      </c>
      <c r="C67" s="5" t="s">
        <v>34</v>
      </c>
      <c r="D67" s="3" t="s">
        <v>344</v>
      </c>
      <c r="E67" s="3" t="s">
        <v>345</v>
      </c>
      <c r="F67" s="3" t="s">
        <v>335</v>
      </c>
      <c r="G67" s="3" t="s">
        <v>84</v>
      </c>
      <c r="H67" s="3" t="s">
        <v>85</v>
      </c>
      <c r="I67" s="3" t="s">
        <v>85</v>
      </c>
      <c r="J67" s="3" t="s">
        <v>346</v>
      </c>
      <c r="K67" s="3" t="s">
        <v>347</v>
      </c>
      <c r="L67" s="3" t="s">
        <v>121</v>
      </c>
      <c r="M67" s="4">
        <v>200</v>
      </c>
      <c r="N67" s="3" t="s">
        <v>348</v>
      </c>
      <c r="O67" s="3" t="s">
        <v>2</v>
      </c>
      <c r="P67" s="6">
        <v>29</v>
      </c>
      <c r="Q67" s="3" t="s">
        <v>91</v>
      </c>
    </row>
    <row r="68" ht="46" customHeight="1" spans="1:17">
      <c r="A68" s="4">
        <v>65</v>
      </c>
      <c r="B68" s="5" t="s">
        <v>332</v>
      </c>
      <c r="C68" s="5" t="s">
        <v>29</v>
      </c>
      <c r="D68" s="3" t="s">
        <v>349</v>
      </c>
      <c r="E68" s="3" t="s">
        <v>350</v>
      </c>
      <c r="F68" s="3" t="s">
        <v>335</v>
      </c>
      <c r="G68" s="3" t="s">
        <v>84</v>
      </c>
      <c r="H68" s="3" t="s">
        <v>103</v>
      </c>
      <c r="I68" s="3" t="s">
        <v>85</v>
      </c>
      <c r="J68" s="3" t="s">
        <v>87</v>
      </c>
      <c r="K68" s="3" t="s">
        <v>104</v>
      </c>
      <c r="L68" s="3" t="s">
        <v>89</v>
      </c>
      <c r="M68" s="4">
        <v>200</v>
      </c>
      <c r="N68" s="3" t="s">
        <v>351</v>
      </c>
      <c r="O68" s="3" t="s">
        <v>2</v>
      </c>
      <c r="P68" s="6">
        <v>16</v>
      </c>
      <c r="Q68" s="3" t="s">
        <v>91</v>
      </c>
    </row>
    <row r="69" ht="46" customHeight="1" spans="1:17">
      <c r="A69" s="4">
        <v>66</v>
      </c>
      <c r="B69" s="5" t="s">
        <v>332</v>
      </c>
      <c r="C69" s="5" t="s">
        <v>41</v>
      </c>
      <c r="D69" s="3" t="s">
        <v>352</v>
      </c>
      <c r="E69" s="3" t="s">
        <v>353</v>
      </c>
      <c r="F69" s="3" t="s">
        <v>335</v>
      </c>
      <c r="G69" s="3" t="s">
        <v>84</v>
      </c>
      <c r="H69" s="3" t="s">
        <v>354</v>
      </c>
      <c r="I69" s="3" t="s">
        <v>85</v>
      </c>
      <c r="J69" s="3" t="s">
        <v>87</v>
      </c>
      <c r="K69" s="3" t="s">
        <v>355</v>
      </c>
      <c r="L69" s="3" t="s">
        <v>181</v>
      </c>
      <c r="M69" s="4">
        <v>204</v>
      </c>
      <c r="N69" s="3" t="s">
        <v>182</v>
      </c>
      <c r="O69" s="3" t="s">
        <v>2</v>
      </c>
      <c r="P69" s="6">
        <v>80</v>
      </c>
      <c r="Q69" s="3" t="s">
        <v>91</v>
      </c>
    </row>
    <row r="70" ht="46" customHeight="1" spans="1:17">
      <c r="A70" s="4">
        <v>67</v>
      </c>
      <c r="B70" s="5" t="s">
        <v>332</v>
      </c>
      <c r="C70" s="5" t="s">
        <v>37</v>
      </c>
      <c r="D70" s="3" t="s">
        <v>352</v>
      </c>
      <c r="E70" s="3" t="s">
        <v>356</v>
      </c>
      <c r="F70" s="3" t="s">
        <v>335</v>
      </c>
      <c r="G70" s="3" t="s">
        <v>84</v>
      </c>
      <c r="H70" s="3" t="s">
        <v>354</v>
      </c>
      <c r="I70" s="3" t="s">
        <v>85</v>
      </c>
      <c r="J70" s="3" t="s">
        <v>357</v>
      </c>
      <c r="K70" s="3" t="s">
        <v>358</v>
      </c>
      <c r="L70" s="3" t="s">
        <v>181</v>
      </c>
      <c r="M70" s="4">
        <v>204</v>
      </c>
      <c r="N70" s="3" t="s">
        <v>182</v>
      </c>
      <c r="O70" s="3" t="s">
        <v>2</v>
      </c>
      <c r="P70" s="6">
        <v>51</v>
      </c>
      <c r="Q70" s="3" t="s">
        <v>91</v>
      </c>
    </row>
    <row r="71" ht="46" customHeight="1" spans="1:17">
      <c r="A71" s="4">
        <v>68</v>
      </c>
      <c r="B71" s="5" t="s">
        <v>359</v>
      </c>
      <c r="C71" s="5" t="s">
        <v>34</v>
      </c>
      <c r="D71" s="3" t="s">
        <v>360</v>
      </c>
      <c r="E71" s="3" t="s">
        <v>361</v>
      </c>
      <c r="F71" s="3" t="s">
        <v>362</v>
      </c>
      <c r="G71" s="3" t="s">
        <v>84</v>
      </c>
      <c r="H71" s="3" t="s">
        <v>85</v>
      </c>
      <c r="I71" s="3" t="s">
        <v>85</v>
      </c>
      <c r="J71" s="3" t="s">
        <v>363</v>
      </c>
      <c r="K71" s="3" t="s">
        <v>364</v>
      </c>
      <c r="L71" s="3" t="s">
        <v>121</v>
      </c>
      <c r="M71" s="4">
        <v>200</v>
      </c>
      <c r="N71" s="3" t="s">
        <v>365</v>
      </c>
      <c r="O71" s="3" t="s">
        <v>2</v>
      </c>
      <c r="P71" s="6">
        <v>106</v>
      </c>
      <c r="Q71" s="3" t="s">
        <v>117</v>
      </c>
    </row>
    <row r="72" ht="46" customHeight="1" spans="1:17">
      <c r="A72" s="4">
        <v>69</v>
      </c>
      <c r="B72" s="5" t="s">
        <v>359</v>
      </c>
      <c r="C72" s="5" t="s">
        <v>34</v>
      </c>
      <c r="D72" s="3" t="s">
        <v>366</v>
      </c>
      <c r="E72" s="3" t="s">
        <v>367</v>
      </c>
      <c r="F72" s="3" t="s">
        <v>362</v>
      </c>
      <c r="G72" s="3" t="s">
        <v>84</v>
      </c>
      <c r="H72" s="3" t="s">
        <v>85</v>
      </c>
      <c r="I72" s="3" t="s">
        <v>85</v>
      </c>
      <c r="J72" s="3" t="s">
        <v>368</v>
      </c>
      <c r="K72" s="3" t="s">
        <v>369</v>
      </c>
      <c r="L72" s="3" t="s">
        <v>121</v>
      </c>
      <c r="M72" s="4">
        <v>200</v>
      </c>
      <c r="N72" s="3" t="s">
        <v>370</v>
      </c>
      <c r="O72" s="3" t="s">
        <v>2</v>
      </c>
      <c r="P72" s="6">
        <v>1023</v>
      </c>
      <c r="Q72" s="3" t="s">
        <v>117</v>
      </c>
    </row>
    <row r="73" ht="46" customHeight="1" spans="1:17">
      <c r="A73" s="4">
        <v>70</v>
      </c>
      <c r="B73" s="5" t="s">
        <v>359</v>
      </c>
      <c r="C73" s="5" t="s">
        <v>34</v>
      </c>
      <c r="D73" s="3" t="s">
        <v>371</v>
      </c>
      <c r="E73" s="3" t="s">
        <v>372</v>
      </c>
      <c r="F73" s="3" t="s">
        <v>362</v>
      </c>
      <c r="G73" s="3" t="s">
        <v>84</v>
      </c>
      <c r="H73" s="3" t="s">
        <v>85</v>
      </c>
      <c r="I73" s="3" t="s">
        <v>85</v>
      </c>
      <c r="J73" s="3" t="s">
        <v>373</v>
      </c>
      <c r="K73" s="3" t="s">
        <v>374</v>
      </c>
      <c r="L73" s="3" t="s">
        <v>121</v>
      </c>
      <c r="M73" s="4">
        <v>200</v>
      </c>
      <c r="N73" s="3" t="s">
        <v>375</v>
      </c>
      <c r="O73" s="3" t="s">
        <v>2</v>
      </c>
      <c r="P73" s="6">
        <v>22</v>
      </c>
      <c r="Q73" s="3" t="s">
        <v>117</v>
      </c>
    </row>
    <row r="74" ht="46" customHeight="1" spans="1:17">
      <c r="A74" s="4">
        <v>71</v>
      </c>
      <c r="B74" s="5" t="s">
        <v>359</v>
      </c>
      <c r="C74" s="5" t="s">
        <v>29</v>
      </c>
      <c r="D74" s="3" t="s">
        <v>376</v>
      </c>
      <c r="E74" s="3" t="s">
        <v>377</v>
      </c>
      <c r="F74" s="3" t="s">
        <v>362</v>
      </c>
      <c r="G74" s="3" t="s">
        <v>84</v>
      </c>
      <c r="H74" s="3" t="s">
        <v>115</v>
      </c>
      <c r="I74" s="3" t="s">
        <v>85</v>
      </c>
      <c r="J74" s="3" t="s">
        <v>87</v>
      </c>
      <c r="K74" s="3" t="s">
        <v>116</v>
      </c>
      <c r="L74" s="3" t="s">
        <v>89</v>
      </c>
      <c r="M74" s="4">
        <v>200</v>
      </c>
      <c r="N74" s="3" t="s">
        <v>378</v>
      </c>
      <c r="O74" s="3" t="s">
        <v>2</v>
      </c>
      <c r="P74" s="6">
        <v>50</v>
      </c>
      <c r="Q74" s="3" t="s">
        <v>117</v>
      </c>
    </row>
    <row r="75" ht="46" customHeight="1" spans="1:17">
      <c r="A75" s="4">
        <v>72</v>
      </c>
      <c r="B75" s="5" t="s">
        <v>379</v>
      </c>
      <c r="C75" s="5" t="s">
        <v>34</v>
      </c>
      <c r="D75" s="3" t="s">
        <v>380</v>
      </c>
      <c r="E75" s="3" t="s">
        <v>381</v>
      </c>
      <c r="F75" s="3" t="s">
        <v>382</v>
      </c>
      <c r="G75" s="3" t="s">
        <v>84</v>
      </c>
      <c r="H75" s="3" t="s">
        <v>85</v>
      </c>
      <c r="I75" s="3" t="s">
        <v>85</v>
      </c>
      <c r="J75" s="3" t="s">
        <v>383</v>
      </c>
      <c r="K75" s="3" t="s">
        <v>384</v>
      </c>
      <c r="L75" s="3" t="s">
        <v>121</v>
      </c>
      <c r="M75" s="4">
        <v>200</v>
      </c>
      <c r="N75" s="3" t="s">
        <v>385</v>
      </c>
      <c r="O75" s="3" t="s">
        <v>2</v>
      </c>
      <c r="P75" s="6">
        <v>182</v>
      </c>
      <c r="Q75" s="3" t="s">
        <v>91</v>
      </c>
    </row>
    <row r="76" ht="46" customHeight="1" spans="1:17">
      <c r="A76" s="4">
        <v>73</v>
      </c>
      <c r="B76" s="5" t="s">
        <v>379</v>
      </c>
      <c r="C76" s="5" t="s">
        <v>41</v>
      </c>
      <c r="D76" s="3" t="s">
        <v>386</v>
      </c>
      <c r="E76" s="3" t="s">
        <v>387</v>
      </c>
      <c r="F76" s="3" t="s">
        <v>382</v>
      </c>
      <c r="G76" s="3" t="s">
        <v>84</v>
      </c>
      <c r="H76" s="3" t="s">
        <v>388</v>
      </c>
      <c r="I76" s="3" t="s">
        <v>85</v>
      </c>
      <c r="J76" s="3" t="s">
        <v>87</v>
      </c>
      <c r="K76" s="3" t="s">
        <v>389</v>
      </c>
      <c r="L76" s="3" t="s">
        <v>181</v>
      </c>
      <c r="M76" s="4">
        <v>204</v>
      </c>
      <c r="N76" s="3" t="s">
        <v>182</v>
      </c>
      <c r="O76" s="3" t="s">
        <v>2</v>
      </c>
      <c r="P76" s="6">
        <v>13</v>
      </c>
      <c r="Q76" s="3" t="s">
        <v>91</v>
      </c>
    </row>
    <row r="77" ht="46" customHeight="1" spans="1:17">
      <c r="A77" s="4">
        <v>74</v>
      </c>
      <c r="B77" s="5" t="s">
        <v>379</v>
      </c>
      <c r="C77" s="5" t="s">
        <v>29</v>
      </c>
      <c r="D77" s="3" t="s">
        <v>390</v>
      </c>
      <c r="E77" s="3" t="s">
        <v>391</v>
      </c>
      <c r="F77" s="3" t="s">
        <v>382</v>
      </c>
      <c r="G77" s="3" t="s">
        <v>84</v>
      </c>
      <c r="H77" s="3" t="s">
        <v>115</v>
      </c>
      <c r="I77" s="3" t="s">
        <v>85</v>
      </c>
      <c r="J77" s="3" t="s">
        <v>87</v>
      </c>
      <c r="K77" s="3" t="s">
        <v>392</v>
      </c>
      <c r="L77" s="3" t="s">
        <v>89</v>
      </c>
      <c r="M77" s="4">
        <v>200</v>
      </c>
      <c r="N77" s="3" t="s">
        <v>96</v>
      </c>
      <c r="O77" s="3" t="s">
        <v>2</v>
      </c>
      <c r="P77" s="6">
        <v>32</v>
      </c>
      <c r="Q77" s="3" t="s">
        <v>91</v>
      </c>
    </row>
    <row r="78" ht="46" customHeight="1" spans="1:17">
      <c r="A78" s="4">
        <v>75</v>
      </c>
      <c r="B78" s="5" t="s">
        <v>393</v>
      </c>
      <c r="C78" s="5" t="s">
        <v>29</v>
      </c>
      <c r="D78" s="3" t="s">
        <v>394</v>
      </c>
      <c r="E78" s="3" t="s">
        <v>395</v>
      </c>
      <c r="F78" s="3" t="s">
        <v>396</v>
      </c>
      <c r="G78" s="3" t="s">
        <v>84</v>
      </c>
      <c r="H78" s="3" t="s">
        <v>115</v>
      </c>
      <c r="I78" s="3" t="s">
        <v>85</v>
      </c>
      <c r="J78" s="3" t="s">
        <v>87</v>
      </c>
      <c r="K78" s="3" t="s">
        <v>116</v>
      </c>
      <c r="L78" s="3" t="s">
        <v>89</v>
      </c>
      <c r="M78" s="4">
        <v>200</v>
      </c>
      <c r="N78" s="3" t="s">
        <v>397</v>
      </c>
      <c r="O78" s="3" t="s">
        <v>2</v>
      </c>
      <c r="P78" s="6">
        <v>14</v>
      </c>
      <c r="Q78" s="3" t="s">
        <v>91</v>
      </c>
    </row>
    <row r="79" ht="46" customHeight="1" spans="1:17">
      <c r="A79" s="4">
        <v>76</v>
      </c>
      <c r="B79" s="5" t="s">
        <v>393</v>
      </c>
      <c r="C79" s="5" t="s">
        <v>34</v>
      </c>
      <c r="D79" s="3" t="s">
        <v>394</v>
      </c>
      <c r="E79" s="3" t="s">
        <v>398</v>
      </c>
      <c r="F79" s="3" t="s">
        <v>396</v>
      </c>
      <c r="G79" s="3" t="s">
        <v>84</v>
      </c>
      <c r="H79" s="3" t="s">
        <v>115</v>
      </c>
      <c r="I79" s="3" t="s">
        <v>85</v>
      </c>
      <c r="J79" s="3" t="s">
        <v>399</v>
      </c>
      <c r="K79" s="3" t="s">
        <v>400</v>
      </c>
      <c r="L79" s="3" t="s">
        <v>175</v>
      </c>
      <c r="M79" s="4">
        <v>201</v>
      </c>
      <c r="N79" s="3" t="s">
        <v>401</v>
      </c>
      <c r="O79" s="3" t="s">
        <v>2</v>
      </c>
      <c r="P79" s="6">
        <v>147</v>
      </c>
      <c r="Q79" s="3" t="s">
        <v>91</v>
      </c>
    </row>
    <row r="80" ht="46" customHeight="1" spans="1:17">
      <c r="A80" s="4">
        <v>77</v>
      </c>
      <c r="B80" s="5" t="s">
        <v>402</v>
      </c>
      <c r="C80" s="5" t="s">
        <v>37</v>
      </c>
      <c r="D80" s="3" t="s">
        <v>403</v>
      </c>
      <c r="E80" s="3" t="s">
        <v>404</v>
      </c>
      <c r="F80" s="3" t="s">
        <v>405</v>
      </c>
      <c r="G80" s="3" t="s">
        <v>84</v>
      </c>
      <c r="H80" s="3" t="s">
        <v>115</v>
      </c>
      <c r="I80" s="3" t="s">
        <v>85</v>
      </c>
      <c r="J80" s="3" t="s">
        <v>406</v>
      </c>
      <c r="K80" s="3" t="s">
        <v>407</v>
      </c>
      <c r="L80" s="3" t="s">
        <v>408</v>
      </c>
      <c r="M80" s="4">
        <v>200</v>
      </c>
      <c r="N80" s="3" t="s">
        <v>409</v>
      </c>
      <c r="O80" s="3" t="s">
        <v>2</v>
      </c>
      <c r="P80" s="6">
        <v>56</v>
      </c>
      <c r="Q80" s="3" t="s">
        <v>91</v>
      </c>
    </row>
    <row r="81" ht="46" customHeight="1" spans="1:17">
      <c r="A81" s="4">
        <v>78</v>
      </c>
      <c r="B81" s="5" t="s">
        <v>402</v>
      </c>
      <c r="C81" s="5" t="s">
        <v>29</v>
      </c>
      <c r="D81" s="3" t="s">
        <v>410</v>
      </c>
      <c r="E81" s="3" t="s">
        <v>411</v>
      </c>
      <c r="F81" s="3" t="s">
        <v>405</v>
      </c>
      <c r="G81" s="3" t="s">
        <v>84</v>
      </c>
      <c r="H81" s="3" t="s">
        <v>115</v>
      </c>
      <c r="I81" s="3" t="s">
        <v>85</v>
      </c>
      <c r="J81" s="3" t="s">
        <v>87</v>
      </c>
      <c r="K81" s="3" t="s">
        <v>392</v>
      </c>
      <c r="L81" s="3" t="s">
        <v>89</v>
      </c>
      <c r="M81" s="4">
        <v>200</v>
      </c>
      <c r="N81" s="3" t="s">
        <v>412</v>
      </c>
      <c r="O81" s="3" t="s">
        <v>2</v>
      </c>
      <c r="P81" s="6">
        <v>29</v>
      </c>
      <c r="Q81" s="3" t="s">
        <v>91</v>
      </c>
    </row>
    <row r="82" ht="46" customHeight="1" spans="1:17">
      <c r="A82" s="4">
        <v>79</v>
      </c>
      <c r="B82" s="5" t="s">
        <v>413</v>
      </c>
      <c r="C82" s="5" t="s">
        <v>29</v>
      </c>
      <c r="D82" s="3" t="s">
        <v>414</v>
      </c>
      <c r="E82" s="3" t="s">
        <v>415</v>
      </c>
      <c r="F82" s="3" t="s">
        <v>416</v>
      </c>
      <c r="G82" s="3" t="s">
        <v>84</v>
      </c>
      <c r="H82" s="3" t="s">
        <v>115</v>
      </c>
      <c r="I82" s="3" t="s">
        <v>85</v>
      </c>
      <c r="J82" s="3" t="s">
        <v>87</v>
      </c>
      <c r="K82" s="3" t="s">
        <v>116</v>
      </c>
      <c r="L82" s="3" t="s">
        <v>89</v>
      </c>
      <c r="M82" s="4">
        <v>200</v>
      </c>
      <c r="N82" s="3" t="s">
        <v>417</v>
      </c>
      <c r="O82" s="3" t="s">
        <v>2</v>
      </c>
      <c r="P82" s="6">
        <v>16</v>
      </c>
      <c r="Q82" s="3" t="s">
        <v>91</v>
      </c>
    </row>
    <row r="83" ht="46" customHeight="1" spans="1:17">
      <c r="A83" s="4">
        <v>80</v>
      </c>
      <c r="B83" s="5" t="s">
        <v>413</v>
      </c>
      <c r="C83" s="5" t="s">
        <v>34</v>
      </c>
      <c r="D83" s="3" t="s">
        <v>414</v>
      </c>
      <c r="E83" s="3" t="s">
        <v>418</v>
      </c>
      <c r="F83" s="3" t="s">
        <v>416</v>
      </c>
      <c r="G83" s="3" t="s">
        <v>84</v>
      </c>
      <c r="H83" s="3" t="s">
        <v>115</v>
      </c>
      <c r="I83" s="3" t="s">
        <v>85</v>
      </c>
      <c r="J83" s="3" t="s">
        <v>419</v>
      </c>
      <c r="K83" s="3" t="s">
        <v>420</v>
      </c>
      <c r="L83" s="3" t="s">
        <v>121</v>
      </c>
      <c r="M83" s="4">
        <v>200</v>
      </c>
      <c r="N83" s="3" t="s">
        <v>421</v>
      </c>
      <c r="O83" s="3" t="s">
        <v>2</v>
      </c>
      <c r="P83" s="6">
        <v>50</v>
      </c>
      <c r="Q83" s="3" t="s">
        <v>91</v>
      </c>
    </row>
    <row r="84" ht="46" customHeight="1" spans="1:17">
      <c r="A84" s="4">
        <v>81</v>
      </c>
      <c r="B84" s="5" t="s">
        <v>422</v>
      </c>
      <c r="C84" s="5" t="s">
        <v>29</v>
      </c>
      <c r="D84" s="3" t="s">
        <v>423</v>
      </c>
      <c r="E84" s="3" t="s">
        <v>424</v>
      </c>
      <c r="F84" s="3" t="s">
        <v>425</v>
      </c>
      <c r="G84" s="3" t="s">
        <v>84</v>
      </c>
      <c r="H84" s="3" t="s">
        <v>85</v>
      </c>
      <c r="I84" s="3" t="s">
        <v>426</v>
      </c>
      <c r="J84" s="3" t="s">
        <v>87</v>
      </c>
      <c r="K84" s="3" t="s">
        <v>427</v>
      </c>
      <c r="L84" s="3" t="s">
        <v>89</v>
      </c>
      <c r="M84" s="4">
        <v>200</v>
      </c>
      <c r="N84" s="3" t="s">
        <v>428</v>
      </c>
      <c r="O84" s="3" t="s">
        <v>2</v>
      </c>
      <c r="P84" s="6">
        <v>20</v>
      </c>
      <c r="Q84" s="3" t="s">
        <v>91</v>
      </c>
    </row>
    <row r="85" ht="46" customHeight="1" spans="1:17">
      <c r="A85" s="4">
        <v>82</v>
      </c>
      <c r="B85" s="5" t="s">
        <v>422</v>
      </c>
      <c r="C85" s="5" t="s">
        <v>34</v>
      </c>
      <c r="D85" s="3" t="s">
        <v>423</v>
      </c>
      <c r="E85" s="3" t="s">
        <v>429</v>
      </c>
      <c r="F85" s="3" t="s">
        <v>425</v>
      </c>
      <c r="G85" s="3" t="s">
        <v>84</v>
      </c>
      <c r="H85" s="3" t="s">
        <v>85</v>
      </c>
      <c r="I85" s="3" t="s">
        <v>85</v>
      </c>
      <c r="J85" s="3" t="s">
        <v>430</v>
      </c>
      <c r="K85" s="3" t="s">
        <v>431</v>
      </c>
      <c r="L85" s="3" t="s">
        <v>175</v>
      </c>
      <c r="M85" s="4">
        <v>201</v>
      </c>
      <c r="N85" s="3" t="s">
        <v>432</v>
      </c>
      <c r="O85" s="3" t="s">
        <v>2</v>
      </c>
      <c r="P85" s="6">
        <v>167</v>
      </c>
      <c r="Q85" s="3" t="s">
        <v>91</v>
      </c>
    </row>
    <row r="86" ht="46" customHeight="1" spans="1:17">
      <c r="A86" s="4">
        <v>83</v>
      </c>
      <c r="B86" s="5" t="s">
        <v>422</v>
      </c>
      <c r="C86" s="5" t="s">
        <v>41</v>
      </c>
      <c r="D86" s="3" t="s">
        <v>433</v>
      </c>
      <c r="E86" s="3" t="s">
        <v>434</v>
      </c>
      <c r="F86" s="3" t="s">
        <v>425</v>
      </c>
      <c r="G86" s="3" t="s">
        <v>84</v>
      </c>
      <c r="H86" s="3" t="s">
        <v>179</v>
      </c>
      <c r="I86" s="3" t="s">
        <v>85</v>
      </c>
      <c r="J86" s="3" t="s">
        <v>87</v>
      </c>
      <c r="K86" s="3" t="s">
        <v>435</v>
      </c>
      <c r="L86" s="3" t="s">
        <v>181</v>
      </c>
      <c r="M86" s="4">
        <v>204</v>
      </c>
      <c r="N86" s="3" t="s">
        <v>182</v>
      </c>
      <c r="O86" s="3" t="s">
        <v>2</v>
      </c>
      <c r="P86" s="6">
        <v>14</v>
      </c>
      <c r="Q86" s="3" t="s">
        <v>91</v>
      </c>
    </row>
    <row r="87" ht="46" customHeight="1" spans="1:17">
      <c r="A87" s="4">
        <v>84</v>
      </c>
      <c r="B87" s="5" t="s">
        <v>422</v>
      </c>
      <c r="C87" s="5" t="s">
        <v>29</v>
      </c>
      <c r="D87" s="3" t="s">
        <v>433</v>
      </c>
      <c r="E87" s="3" t="s">
        <v>436</v>
      </c>
      <c r="F87" s="3" t="s">
        <v>425</v>
      </c>
      <c r="G87" s="3" t="s">
        <v>84</v>
      </c>
      <c r="H87" s="3" t="s">
        <v>179</v>
      </c>
      <c r="I87" s="3" t="s">
        <v>85</v>
      </c>
      <c r="J87" s="3" t="s">
        <v>87</v>
      </c>
      <c r="K87" s="3" t="s">
        <v>435</v>
      </c>
      <c r="L87" s="3" t="s">
        <v>89</v>
      </c>
      <c r="M87" s="4">
        <v>200</v>
      </c>
      <c r="N87" s="3" t="s">
        <v>437</v>
      </c>
      <c r="O87" s="3" t="s">
        <v>2</v>
      </c>
      <c r="P87" s="6">
        <v>17</v>
      </c>
      <c r="Q87" s="3" t="s">
        <v>91</v>
      </c>
    </row>
    <row r="88" ht="46" customHeight="1" spans="1:17">
      <c r="A88" s="4">
        <v>85</v>
      </c>
      <c r="B88" s="5" t="s">
        <v>422</v>
      </c>
      <c r="C88" s="5" t="s">
        <v>37</v>
      </c>
      <c r="D88" s="3" t="s">
        <v>433</v>
      </c>
      <c r="E88" s="3" t="s">
        <v>438</v>
      </c>
      <c r="F88" s="3" t="s">
        <v>425</v>
      </c>
      <c r="G88" s="3" t="s">
        <v>84</v>
      </c>
      <c r="H88" s="3" t="s">
        <v>179</v>
      </c>
      <c r="I88" s="3" t="s">
        <v>85</v>
      </c>
      <c r="J88" s="3" t="s">
        <v>439</v>
      </c>
      <c r="K88" s="3" t="s">
        <v>440</v>
      </c>
      <c r="L88" s="3" t="s">
        <v>181</v>
      </c>
      <c r="M88" s="4">
        <v>204</v>
      </c>
      <c r="N88" s="3" t="s">
        <v>182</v>
      </c>
      <c r="O88" s="3" t="s">
        <v>2</v>
      </c>
      <c r="P88" s="6">
        <v>22</v>
      </c>
      <c r="Q88" s="3" t="s">
        <v>91</v>
      </c>
    </row>
    <row r="89" ht="46" customHeight="1" spans="1:17">
      <c r="A89" s="4">
        <v>86</v>
      </c>
      <c r="B89" s="5" t="s">
        <v>422</v>
      </c>
      <c r="C89" s="5" t="s">
        <v>34</v>
      </c>
      <c r="D89" s="3" t="s">
        <v>441</v>
      </c>
      <c r="E89" s="3" t="s">
        <v>442</v>
      </c>
      <c r="F89" s="3" t="s">
        <v>425</v>
      </c>
      <c r="G89" s="3" t="s">
        <v>84</v>
      </c>
      <c r="H89" s="3" t="s">
        <v>179</v>
      </c>
      <c r="I89" s="3" t="s">
        <v>85</v>
      </c>
      <c r="J89" s="3" t="s">
        <v>443</v>
      </c>
      <c r="K89" s="3" t="s">
        <v>444</v>
      </c>
      <c r="L89" s="3" t="s">
        <v>121</v>
      </c>
      <c r="M89" s="4">
        <v>200</v>
      </c>
      <c r="N89" s="3" t="s">
        <v>445</v>
      </c>
      <c r="O89" s="3" t="s">
        <v>2</v>
      </c>
      <c r="P89" s="6">
        <v>32</v>
      </c>
      <c r="Q89" s="3" t="s">
        <v>91</v>
      </c>
    </row>
    <row r="90" ht="46" customHeight="1" spans="1:17">
      <c r="A90" s="4">
        <v>87</v>
      </c>
      <c r="B90" s="5" t="s">
        <v>422</v>
      </c>
      <c r="C90" s="5" t="s">
        <v>41</v>
      </c>
      <c r="D90" s="3" t="s">
        <v>446</v>
      </c>
      <c r="E90" s="3" t="s">
        <v>447</v>
      </c>
      <c r="F90" s="3" t="s">
        <v>448</v>
      </c>
      <c r="G90" s="3" t="s">
        <v>84</v>
      </c>
      <c r="H90" s="3" t="s">
        <v>449</v>
      </c>
      <c r="I90" s="3" t="s">
        <v>85</v>
      </c>
      <c r="J90" s="3" t="s">
        <v>87</v>
      </c>
      <c r="K90" s="3" t="s">
        <v>450</v>
      </c>
      <c r="L90" s="3" t="s">
        <v>451</v>
      </c>
      <c r="M90" s="4">
        <v>200</v>
      </c>
      <c r="N90" s="3" t="s">
        <v>445</v>
      </c>
      <c r="O90" s="3" t="s">
        <v>2</v>
      </c>
      <c r="P90" s="6">
        <v>21</v>
      </c>
      <c r="Q90" s="3" t="s">
        <v>91</v>
      </c>
    </row>
    <row r="91" ht="46" customHeight="1" spans="1:17">
      <c r="A91" s="4">
        <v>88</v>
      </c>
      <c r="B91" s="5" t="s">
        <v>422</v>
      </c>
      <c r="C91" s="5" t="s">
        <v>34</v>
      </c>
      <c r="D91" s="3" t="s">
        <v>452</v>
      </c>
      <c r="E91" s="3" t="s">
        <v>453</v>
      </c>
      <c r="F91" s="3" t="s">
        <v>425</v>
      </c>
      <c r="G91" s="3" t="s">
        <v>84</v>
      </c>
      <c r="H91" s="3" t="s">
        <v>179</v>
      </c>
      <c r="I91" s="3" t="s">
        <v>85</v>
      </c>
      <c r="J91" s="3" t="s">
        <v>87</v>
      </c>
      <c r="K91" s="3" t="s">
        <v>435</v>
      </c>
      <c r="L91" s="3" t="s">
        <v>121</v>
      </c>
      <c r="M91" s="4">
        <v>200</v>
      </c>
      <c r="N91" s="3" t="s">
        <v>454</v>
      </c>
      <c r="O91" s="3" t="s">
        <v>2</v>
      </c>
      <c r="P91" s="6">
        <v>1008</v>
      </c>
      <c r="Q91" s="3" t="s">
        <v>91</v>
      </c>
    </row>
    <row r="92" ht="46" customHeight="1" spans="1:17">
      <c r="A92" s="4">
        <v>89</v>
      </c>
      <c r="B92" s="5" t="s">
        <v>422</v>
      </c>
      <c r="C92" s="5" t="s">
        <v>37</v>
      </c>
      <c r="D92" s="3" t="s">
        <v>455</v>
      </c>
      <c r="E92" s="3" t="s">
        <v>456</v>
      </c>
      <c r="F92" s="3" t="s">
        <v>425</v>
      </c>
      <c r="G92" s="3" t="s">
        <v>84</v>
      </c>
      <c r="H92" s="3" t="s">
        <v>179</v>
      </c>
      <c r="I92" s="3" t="s">
        <v>85</v>
      </c>
      <c r="J92" s="3" t="s">
        <v>457</v>
      </c>
      <c r="K92" s="3" t="s">
        <v>458</v>
      </c>
      <c r="L92" s="3" t="s">
        <v>181</v>
      </c>
      <c r="M92" s="4">
        <v>204</v>
      </c>
      <c r="N92" s="3" t="s">
        <v>182</v>
      </c>
      <c r="O92" s="3" t="s">
        <v>2</v>
      </c>
      <c r="P92" s="6">
        <v>19</v>
      </c>
      <c r="Q92" s="3" t="s">
        <v>91</v>
      </c>
    </row>
    <row r="93" ht="46" customHeight="1" spans="1:17">
      <c r="A93" s="4">
        <v>90</v>
      </c>
      <c r="B93" s="5" t="s">
        <v>422</v>
      </c>
      <c r="C93" s="5" t="s">
        <v>29</v>
      </c>
      <c r="D93" s="3" t="s">
        <v>459</v>
      </c>
      <c r="E93" s="3" t="s">
        <v>460</v>
      </c>
      <c r="F93" s="3" t="s">
        <v>425</v>
      </c>
      <c r="G93" s="3" t="s">
        <v>84</v>
      </c>
      <c r="H93" s="3" t="s">
        <v>85</v>
      </c>
      <c r="I93" s="3" t="s">
        <v>85</v>
      </c>
      <c r="J93" s="3" t="s">
        <v>87</v>
      </c>
      <c r="K93" s="3" t="s">
        <v>109</v>
      </c>
      <c r="L93" s="3" t="s">
        <v>89</v>
      </c>
      <c r="M93" s="4">
        <v>200</v>
      </c>
      <c r="N93" s="3" t="s">
        <v>461</v>
      </c>
      <c r="O93" s="3" t="s">
        <v>2</v>
      </c>
      <c r="P93" s="6">
        <v>68</v>
      </c>
      <c r="Q93" s="3" t="s">
        <v>91</v>
      </c>
    </row>
    <row r="94" ht="46" customHeight="1" spans="1:17">
      <c r="A94" s="4">
        <v>91</v>
      </c>
      <c r="B94" s="5" t="s">
        <v>422</v>
      </c>
      <c r="C94" s="5" t="s">
        <v>29</v>
      </c>
      <c r="D94" s="3" t="s">
        <v>462</v>
      </c>
      <c r="E94" s="3" t="s">
        <v>463</v>
      </c>
      <c r="F94" s="3" t="s">
        <v>448</v>
      </c>
      <c r="G94" s="3" t="s">
        <v>84</v>
      </c>
      <c r="H94" s="3" t="s">
        <v>99</v>
      </c>
      <c r="I94" s="3" t="s">
        <v>85</v>
      </c>
      <c r="J94" s="3" t="s">
        <v>87</v>
      </c>
      <c r="K94" s="3" t="s">
        <v>138</v>
      </c>
      <c r="L94" s="3" t="s">
        <v>89</v>
      </c>
      <c r="M94" s="4">
        <v>200</v>
      </c>
      <c r="N94" s="3" t="s">
        <v>464</v>
      </c>
      <c r="O94" s="3" t="s">
        <v>2</v>
      </c>
      <c r="P94" s="6">
        <v>31</v>
      </c>
      <c r="Q94" s="3" t="s">
        <v>91</v>
      </c>
    </row>
    <row r="95" ht="46" customHeight="1" spans="1:17">
      <c r="A95" s="4">
        <v>92</v>
      </c>
      <c r="B95" s="5" t="s">
        <v>422</v>
      </c>
      <c r="C95" s="5" t="s">
        <v>29</v>
      </c>
      <c r="D95" s="3" t="s">
        <v>465</v>
      </c>
      <c r="E95" s="3" t="s">
        <v>466</v>
      </c>
      <c r="F95" s="3" t="s">
        <v>467</v>
      </c>
      <c r="G95" s="3" t="s">
        <v>84</v>
      </c>
      <c r="H95" s="3" t="s">
        <v>85</v>
      </c>
      <c r="I95" s="3" t="s">
        <v>85</v>
      </c>
      <c r="J95" s="3" t="s">
        <v>87</v>
      </c>
      <c r="K95" s="3" t="s">
        <v>109</v>
      </c>
      <c r="L95" s="3" t="s">
        <v>468</v>
      </c>
      <c r="M95" s="4">
        <v>200</v>
      </c>
      <c r="N95" s="3" t="s">
        <v>469</v>
      </c>
      <c r="O95" s="3" t="s">
        <v>2</v>
      </c>
      <c r="P95" s="6">
        <v>6</v>
      </c>
      <c r="Q95" s="3" t="s">
        <v>91</v>
      </c>
    </row>
    <row r="96" ht="46" customHeight="1" spans="1:17">
      <c r="A96" s="4">
        <v>93</v>
      </c>
      <c r="B96" s="5" t="s">
        <v>470</v>
      </c>
      <c r="C96" s="5" t="s">
        <v>29</v>
      </c>
      <c r="D96" s="3" t="s">
        <v>471</v>
      </c>
      <c r="E96" s="3" t="s">
        <v>472</v>
      </c>
      <c r="F96" s="3" t="s">
        <v>473</v>
      </c>
      <c r="G96" s="3" t="s">
        <v>84</v>
      </c>
      <c r="H96" s="3" t="s">
        <v>85</v>
      </c>
      <c r="I96" s="3" t="s">
        <v>85</v>
      </c>
      <c r="J96" s="3" t="s">
        <v>87</v>
      </c>
      <c r="K96" s="3" t="s">
        <v>109</v>
      </c>
      <c r="L96" s="3" t="s">
        <v>89</v>
      </c>
      <c r="M96" s="4">
        <v>200</v>
      </c>
      <c r="N96" s="3" t="s">
        <v>474</v>
      </c>
      <c r="O96" s="3" t="s">
        <v>2</v>
      </c>
      <c r="P96" s="6">
        <v>39</v>
      </c>
      <c r="Q96" s="3" t="s">
        <v>91</v>
      </c>
    </row>
    <row r="97" ht="46" customHeight="1" spans="1:17">
      <c r="A97" s="4">
        <v>94</v>
      </c>
      <c r="B97" s="5" t="s">
        <v>470</v>
      </c>
      <c r="C97" s="5" t="s">
        <v>34</v>
      </c>
      <c r="D97" s="3" t="s">
        <v>471</v>
      </c>
      <c r="E97" s="3" t="s">
        <v>475</v>
      </c>
      <c r="F97" s="3" t="s">
        <v>473</v>
      </c>
      <c r="G97" s="3" t="s">
        <v>84</v>
      </c>
      <c r="H97" s="3" t="s">
        <v>85</v>
      </c>
      <c r="I97" s="3" t="s">
        <v>85</v>
      </c>
      <c r="J97" s="3" t="s">
        <v>476</v>
      </c>
      <c r="K97" s="3" t="s">
        <v>477</v>
      </c>
      <c r="L97" s="3" t="s">
        <v>175</v>
      </c>
      <c r="M97" s="4">
        <v>201</v>
      </c>
      <c r="N97" s="3" t="s">
        <v>478</v>
      </c>
      <c r="O97" s="3" t="s">
        <v>2</v>
      </c>
      <c r="P97" s="6">
        <v>85</v>
      </c>
      <c r="Q97" s="3" t="s">
        <v>91</v>
      </c>
    </row>
    <row r="98" ht="46" customHeight="1" spans="1:17">
      <c r="A98" s="4">
        <v>95</v>
      </c>
      <c r="B98" s="5" t="s">
        <v>470</v>
      </c>
      <c r="C98" s="5" t="s">
        <v>41</v>
      </c>
      <c r="D98" s="3" t="s">
        <v>479</v>
      </c>
      <c r="E98" s="3" t="s">
        <v>480</v>
      </c>
      <c r="F98" s="3" t="s">
        <v>473</v>
      </c>
      <c r="G98" s="3" t="s">
        <v>84</v>
      </c>
      <c r="H98" s="3" t="s">
        <v>179</v>
      </c>
      <c r="I98" s="3" t="s">
        <v>85</v>
      </c>
      <c r="J98" s="3" t="s">
        <v>87</v>
      </c>
      <c r="K98" s="3" t="s">
        <v>481</v>
      </c>
      <c r="L98" s="3" t="s">
        <v>181</v>
      </c>
      <c r="M98" s="4">
        <v>204</v>
      </c>
      <c r="N98" s="3" t="s">
        <v>182</v>
      </c>
      <c r="O98" s="3" t="s">
        <v>2</v>
      </c>
      <c r="P98" s="6">
        <v>19</v>
      </c>
      <c r="Q98" s="3" t="s">
        <v>91</v>
      </c>
    </row>
    <row r="99" ht="46" customHeight="1" spans="1:17">
      <c r="A99" s="4">
        <v>96</v>
      </c>
      <c r="B99" s="5" t="s">
        <v>470</v>
      </c>
      <c r="C99" s="5" t="s">
        <v>29</v>
      </c>
      <c r="D99" s="3" t="s">
        <v>479</v>
      </c>
      <c r="E99" s="3" t="s">
        <v>482</v>
      </c>
      <c r="F99" s="3" t="s">
        <v>473</v>
      </c>
      <c r="G99" s="3" t="s">
        <v>84</v>
      </c>
      <c r="H99" s="3" t="s">
        <v>179</v>
      </c>
      <c r="I99" s="3" t="s">
        <v>85</v>
      </c>
      <c r="J99" s="3" t="s">
        <v>87</v>
      </c>
      <c r="K99" s="3" t="s">
        <v>481</v>
      </c>
      <c r="L99" s="3" t="s">
        <v>89</v>
      </c>
      <c r="M99" s="4">
        <v>200</v>
      </c>
      <c r="N99" s="3" t="s">
        <v>483</v>
      </c>
      <c r="O99" s="3" t="s">
        <v>2</v>
      </c>
      <c r="P99" s="6">
        <v>14</v>
      </c>
      <c r="Q99" s="3" t="s">
        <v>91</v>
      </c>
    </row>
    <row r="100" ht="46" customHeight="1" spans="1:17">
      <c r="A100" s="4">
        <v>97</v>
      </c>
      <c r="B100" s="5" t="s">
        <v>470</v>
      </c>
      <c r="C100" s="5" t="s">
        <v>34</v>
      </c>
      <c r="D100" s="3" t="s">
        <v>484</v>
      </c>
      <c r="E100" s="3" t="s">
        <v>485</v>
      </c>
      <c r="F100" s="3" t="s">
        <v>473</v>
      </c>
      <c r="G100" s="3" t="s">
        <v>84</v>
      </c>
      <c r="H100" s="3" t="s">
        <v>179</v>
      </c>
      <c r="I100" s="3" t="s">
        <v>85</v>
      </c>
      <c r="J100" s="3" t="s">
        <v>486</v>
      </c>
      <c r="K100" s="3" t="s">
        <v>487</v>
      </c>
      <c r="L100" s="3" t="s">
        <v>121</v>
      </c>
      <c r="M100" s="4">
        <v>200</v>
      </c>
      <c r="N100" s="3" t="s">
        <v>488</v>
      </c>
      <c r="O100" s="3" t="s">
        <v>2</v>
      </c>
      <c r="P100" s="6">
        <v>17</v>
      </c>
      <c r="Q100" s="3" t="s">
        <v>91</v>
      </c>
    </row>
    <row r="101" ht="46" customHeight="1" spans="1:17">
      <c r="A101" s="4">
        <v>98</v>
      </c>
      <c r="B101" s="5" t="s">
        <v>470</v>
      </c>
      <c r="C101" s="5" t="s">
        <v>41</v>
      </c>
      <c r="D101" s="3" t="s">
        <v>489</v>
      </c>
      <c r="E101" s="3" t="s">
        <v>490</v>
      </c>
      <c r="F101" s="3" t="s">
        <v>473</v>
      </c>
      <c r="G101" s="3" t="s">
        <v>84</v>
      </c>
      <c r="H101" s="3" t="s">
        <v>491</v>
      </c>
      <c r="I101" s="3" t="s">
        <v>85</v>
      </c>
      <c r="J101" s="3" t="s">
        <v>87</v>
      </c>
      <c r="K101" s="3" t="s">
        <v>492</v>
      </c>
      <c r="L101" s="3" t="s">
        <v>181</v>
      </c>
      <c r="M101" s="4">
        <v>204</v>
      </c>
      <c r="N101" s="3" t="s">
        <v>182</v>
      </c>
      <c r="O101" s="3" t="s">
        <v>2</v>
      </c>
      <c r="P101" s="6">
        <v>21</v>
      </c>
      <c r="Q101" s="3" t="s">
        <v>91</v>
      </c>
    </row>
    <row r="102" ht="46" customHeight="1" spans="1:17">
      <c r="A102" s="4">
        <v>99</v>
      </c>
      <c r="B102" s="5" t="s">
        <v>470</v>
      </c>
      <c r="C102" s="5" t="s">
        <v>29</v>
      </c>
      <c r="D102" s="3" t="s">
        <v>493</v>
      </c>
      <c r="E102" s="3" t="s">
        <v>494</v>
      </c>
      <c r="F102" s="3" t="s">
        <v>473</v>
      </c>
      <c r="G102" s="3" t="s">
        <v>84</v>
      </c>
      <c r="H102" s="3" t="s">
        <v>85</v>
      </c>
      <c r="I102" s="3" t="s">
        <v>85</v>
      </c>
      <c r="J102" s="3" t="s">
        <v>87</v>
      </c>
      <c r="K102" s="3" t="s">
        <v>109</v>
      </c>
      <c r="L102" s="3" t="s">
        <v>89</v>
      </c>
      <c r="M102" s="4">
        <v>200</v>
      </c>
      <c r="N102" s="3" t="s">
        <v>474</v>
      </c>
      <c r="O102" s="3" t="s">
        <v>2</v>
      </c>
      <c r="P102" s="6">
        <v>12</v>
      </c>
      <c r="Q102" s="3" t="s">
        <v>91</v>
      </c>
    </row>
    <row r="103" ht="46" customHeight="1" spans="1:17">
      <c r="A103" s="4">
        <v>100</v>
      </c>
      <c r="B103" s="5" t="s">
        <v>495</v>
      </c>
      <c r="C103" s="5" t="s">
        <v>29</v>
      </c>
      <c r="D103" s="3" t="s">
        <v>496</v>
      </c>
      <c r="E103" s="3" t="s">
        <v>497</v>
      </c>
      <c r="F103" s="3" t="s">
        <v>498</v>
      </c>
      <c r="G103" s="3" t="s">
        <v>84</v>
      </c>
      <c r="H103" s="3" t="s">
        <v>179</v>
      </c>
      <c r="I103" s="3" t="s">
        <v>85</v>
      </c>
      <c r="J103" s="3" t="s">
        <v>87</v>
      </c>
      <c r="K103" s="3" t="s">
        <v>180</v>
      </c>
      <c r="L103" s="3" t="s">
        <v>89</v>
      </c>
      <c r="M103" s="4">
        <v>200</v>
      </c>
      <c r="N103" s="3" t="s">
        <v>499</v>
      </c>
      <c r="O103" s="3" t="s">
        <v>2</v>
      </c>
      <c r="P103" s="6">
        <v>15</v>
      </c>
      <c r="Q103" s="3" t="s">
        <v>91</v>
      </c>
    </row>
    <row r="104" ht="46" customHeight="1" spans="1:17">
      <c r="A104" s="4">
        <v>101</v>
      </c>
      <c r="B104" s="5" t="s">
        <v>495</v>
      </c>
      <c r="C104" s="5" t="s">
        <v>34</v>
      </c>
      <c r="D104" s="3" t="s">
        <v>500</v>
      </c>
      <c r="E104" s="3" t="s">
        <v>501</v>
      </c>
      <c r="F104" s="3" t="s">
        <v>498</v>
      </c>
      <c r="G104" s="3" t="s">
        <v>84</v>
      </c>
      <c r="H104" s="3" t="s">
        <v>179</v>
      </c>
      <c r="I104" s="3" t="s">
        <v>85</v>
      </c>
      <c r="J104" s="3" t="s">
        <v>502</v>
      </c>
      <c r="K104" s="3" t="s">
        <v>503</v>
      </c>
      <c r="L104" s="3" t="s">
        <v>504</v>
      </c>
      <c r="M104" s="4">
        <v>200</v>
      </c>
      <c r="N104" s="3" t="s">
        <v>505</v>
      </c>
      <c r="O104" s="3" t="s">
        <v>2</v>
      </c>
      <c r="P104" s="6">
        <v>1914</v>
      </c>
      <c r="Q104" s="3" t="s">
        <v>506</v>
      </c>
    </row>
    <row r="105" ht="46" customHeight="1" spans="1:17">
      <c r="A105" s="4">
        <v>102</v>
      </c>
      <c r="B105" s="5" t="s">
        <v>495</v>
      </c>
      <c r="C105" s="5" t="s">
        <v>37</v>
      </c>
      <c r="D105" s="3" t="s">
        <v>507</v>
      </c>
      <c r="E105" s="3" t="s">
        <v>508</v>
      </c>
      <c r="F105" s="3" t="s">
        <v>498</v>
      </c>
      <c r="G105" s="3" t="s">
        <v>84</v>
      </c>
      <c r="H105" s="3" t="s">
        <v>179</v>
      </c>
      <c r="I105" s="3" t="s">
        <v>85</v>
      </c>
      <c r="J105" s="3" t="s">
        <v>509</v>
      </c>
      <c r="K105" s="3" t="s">
        <v>510</v>
      </c>
      <c r="L105" s="3" t="s">
        <v>408</v>
      </c>
      <c r="M105" s="4">
        <v>200</v>
      </c>
      <c r="N105" s="3" t="s">
        <v>511</v>
      </c>
      <c r="O105" s="3" t="s">
        <v>2</v>
      </c>
      <c r="P105" s="6">
        <v>360</v>
      </c>
      <c r="Q105" s="3" t="s">
        <v>91</v>
      </c>
    </row>
    <row r="106" ht="46" customHeight="1" spans="1:17">
      <c r="A106" s="4">
        <v>103</v>
      </c>
      <c r="B106" s="5" t="s">
        <v>495</v>
      </c>
      <c r="C106" s="5" t="s">
        <v>37</v>
      </c>
      <c r="D106" s="3" t="s">
        <v>512</v>
      </c>
      <c r="E106" s="3" t="s">
        <v>513</v>
      </c>
      <c r="F106" s="3" t="s">
        <v>498</v>
      </c>
      <c r="G106" s="3" t="s">
        <v>84</v>
      </c>
      <c r="H106" s="3" t="s">
        <v>179</v>
      </c>
      <c r="I106" s="3" t="s">
        <v>85</v>
      </c>
      <c r="J106" s="3" t="s">
        <v>514</v>
      </c>
      <c r="K106" s="3" t="s">
        <v>515</v>
      </c>
      <c r="L106" s="3" t="s">
        <v>408</v>
      </c>
      <c r="M106" s="4">
        <v>200</v>
      </c>
      <c r="N106" s="3" t="s">
        <v>516</v>
      </c>
      <c r="O106" s="3" t="s">
        <v>2</v>
      </c>
      <c r="P106" s="6">
        <v>18</v>
      </c>
      <c r="Q106" s="3" t="s">
        <v>91</v>
      </c>
    </row>
    <row r="107" ht="46" customHeight="1" spans="1:17">
      <c r="A107" s="4">
        <v>104</v>
      </c>
      <c r="B107" s="5" t="s">
        <v>495</v>
      </c>
      <c r="C107" s="5" t="s">
        <v>29</v>
      </c>
      <c r="D107" s="3" t="s">
        <v>517</v>
      </c>
      <c r="E107" s="3" t="s">
        <v>518</v>
      </c>
      <c r="F107" s="3" t="s">
        <v>498</v>
      </c>
      <c r="G107" s="3" t="s">
        <v>84</v>
      </c>
      <c r="H107" s="3" t="s">
        <v>85</v>
      </c>
      <c r="I107" s="3" t="s">
        <v>519</v>
      </c>
      <c r="J107" s="3" t="s">
        <v>87</v>
      </c>
      <c r="K107" s="3" t="s">
        <v>520</v>
      </c>
      <c r="L107" s="3" t="s">
        <v>89</v>
      </c>
      <c r="M107" s="4">
        <v>200</v>
      </c>
      <c r="N107" s="3" t="s">
        <v>521</v>
      </c>
      <c r="O107" s="3" t="s">
        <v>2</v>
      </c>
      <c r="P107" s="6">
        <v>17</v>
      </c>
      <c r="Q107" s="3" t="s">
        <v>91</v>
      </c>
    </row>
    <row r="108" ht="46" customHeight="1" spans="1:17">
      <c r="A108" s="4">
        <v>105</v>
      </c>
      <c r="B108" s="5" t="s">
        <v>495</v>
      </c>
      <c r="C108" s="5" t="s">
        <v>34</v>
      </c>
      <c r="D108" s="3" t="s">
        <v>522</v>
      </c>
      <c r="E108" s="3" t="s">
        <v>523</v>
      </c>
      <c r="F108" s="3" t="s">
        <v>498</v>
      </c>
      <c r="G108" s="3" t="s">
        <v>84</v>
      </c>
      <c r="H108" s="3" t="s">
        <v>85</v>
      </c>
      <c r="I108" s="3" t="s">
        <v>524</v>
      </c>
      <c r="J108" s="3" t="s">
        <v>502</v>
      </c>
      <c r="K108" s="3" t="s">
        <v>525</v>
      </c>
      <c r="L108" s="3" t="s">
        <v>526</v>
      </c>
      <c r="M108" s="4">
        <v>200</v>
      </c>
      <c r="N108" s="3" t="s">
        <v>527</v>
      </c>
      <c r="O108" s="3" t="s">
        <v>2</v>
      </c>
      <c r="P108" s="6">
        <v>858</v>
      </c>
      <c r="Q108" s="3" t="s">
        <v>506</v>
      </c>
    </row>
    <row r="109" ht="46" customHeight="1" spans="1:17">
      <c r="A109" s="4">
        <v>106</v>
      </c>
      <c r="B109" s="5" t="s">
        <v>528</v>
      </c>
      <c r="C109" s="5" t="s">
        <v>34</v>
      </c>
      <c r="D109" s="3" t="s">
        <v>529</v>
      </c>
      <c r="E109" s="3" t="s">
        <v>530</v>
      </c>
      <c r="F109" s="3" t="s">
        <v>531</v>
      </c>
      <c r="G109" s="3" t="s">
        <v>84</v>
      </c>
      <c r="H109" s="3" t="s">
        <v>85</v>
      </c>
      <c r="I109" s="3" t="s">
        <v>85</v>
      </c>
      <c r="J109" s="3" t="s">
        <v>532</v>
      </c>
      <c r="K109" s="3" t="s">
        <v>533</v>
      </c>
      <c r="L109" s="3" t="s">
        <v>121</v>
      </c>
      <c r="M109" s="4">
        <v>200</v>
      </c>
      <c r="N109" s="3" t="s">
        <v>534</v>
      </c>
      <c r="O109" s="3" t="s">
        <v>2</v>
      </c>
      <c r="P109" s="6">
        <v>28</v>
      </c>
      <c r="Q109" s="3" t="s">
        <v>91</v>
      </c>
    </row>
    <row r="110" ht="46" customHeight="1" spans="1:17">
      <c r="A110" s="4">
        <v>107</v>
      </c>
      <c r="B110" s="5" t="s">
        <v>528</v>
      </c>
      <c r="C110" s="5" t="s">
        <v>29</v>
      </c>
      <c r="D110" s="3" t="s">
        <v>535</v>
      </c>
      <c r="E110" s="3" t="s">
        <v>536</v>
      </c>
      <c r="F110" s="3" t="s">
        <v>531</v>
      </c>
      <c r="G110" s="3" t="s">
        <v>84</v>
      </c>
      <c r="H110" s="3" t="s">
        <v>99</v>
      </c>
      <c r="I110" s="3" t="s">
        <v>85</v>
      </c>
      <c r="J110" s="3" t="s">
        <v>87</v>
      </c>
      <c r="K110" s="3" t="s">
        <v>253</v>
      </c>
      <c r="L110" s="3" t="s">
        <v>89</v>
      </c>
      <c r="M110" s="4">
        <v>200</v>
      </c>
      <c r="N110" s="3" t="s">
        <v>537</v>
      </c>
      <c r="O110" s="3" t="s">
        <v>2</v>
      </c>
      <c r="P110" s="6">
        <v>17</v>
      </c>
      <c r="Q110" s="3" t="s">
        <v>91</v>
      </c>
    </row>
    <row r="111" ht="46" customHeight="1" spans="1:17">
      <c r="A111" s="4">
        <v>108</v>
      </c>
      <c r="B111" s="5" t="s">
        <v>528</v>
      </c>
      <c r="C111" s="5" t="s">
        <v>29</v>
      </c>
      <c r="D111" s="3" t="s">
        <v>538</v>
      </c>
      <c r="E111" s="3" t="s">
        <v>539</v>
      </c>
      <c r="F111" s="3" t="s">
        <v>531</v>
      </c>
      <c r="G111" s="3" t="s">
        <v>84</v>
      </c>
      <c r="H111" s="3" t="s">
        <v>103</v>
      </c>
      <c r="I111" s="3" t="s">
        <v>85</v>
      </c>
      <c r="J111" s="3" t="s">
        <v>87</v>
      </c>
      <c r="K111" s="3" t="s">
        <v>104</v>
      </c>
      <c r="L111" s="3" t="s">
        <v>89</v>
      </c>
      <c r="M111" s="4">
        <v>200</v>
      </c>
      <c r="N111" s="3" t="s">
        <v>540</v>
      </c>
      <c r="O111" s="3" t="s">
        <v>2</v>
      </c>
      <c r="P111" s="6">
        <v>57</v>
      </c>
      <c r="Q111" s="3" t="s">
        <v>91</v>
      </c>
    </row>
    <row r="112" ht="46" customHeight="1" spans="1:17">
      <c r="A112" s="4">
        <v>109</v>
      </c>
      <c r="B112" s="5" t="s">
        <v>528</v>
      </c>
      <c r="C112" s="5" t="s">
        <v>29</v>
      </c>
      <c r="D112" s="3" t="s">
        <v>541</v>
      </c>
      <c r="E112" s="3" t="s">
        <v>542</v>
      </c>
      <c r="F112" s="3" t="s">
        <v>531</v>
      </c>
      <c r="G112" s="3" t="s">
        <v>84</v>
      </c>
      <c r="H112" s="3" t="s">
        <v>103</v>
      </c>
      <c r="I112" s="3" t="s">
        <v>85</v>
      </c>
      <c r="J112" s="3" t="s">
        <v>87</v>
      </c>
      <c r="K112" s="3" t="s">
        <v>104</v>
      </c>
      <c r="L112" s="3" t="s">
        <v>89</v>
      </c>
      <c r="M112" s="4">
        <v>200</v>
      </c>
      <c r="N112" s="3" t="s">
        <v>543</v>
      </c>
      <c r="O112" s="3" t="s">
        <v>2</v>
      </c>
      <c r="P112" s="6">
        <v>19</v>
      </c>
      <c r="Q112" s="3" t="s">
        <v>91</v>
      </c>
    </row>
  </sheetData>
  <mergeCells count="1">
    <mergeCell ref="A1:Q2"/>
  </mergeCells>
  <conditionalFormatting sqref="C4:C112">
    <cfRule type="containsText" dxfId="0" priority="3" operator="between" text="GET">
      <formula>NOT(ISERROR(SEARCH("GET",C4)))</formula>
    </cfRule>
    <cfRule type="containsText" dxfId="1" priority="4" operator="between" text="POST">
      <formula>NOT(ISERROR(SEARCH("POST",C4)))</formula>
    </cfRule>
    <cfRule type="containsText" dxfId="2" priority="5" operator="between" text="PUT">
      <formula>NOT(ISERROR(SEARCH("PUT",C4)))</formula>
    </cfRule>
    <cfRule type="containsText" dxfId="3" priority="6" operator="between" text="DELETE">
      <formula>NOT(ISERROR(SEARCH("DELETE",C4)))</formula>
    </cfRule>
  </conditionalFormatting>
  <conditionalFormatting sqref="M4:M112">
    <cfRule type="cellIs" dxfId="3" priority="7" operator="greaterThanOrEqual">
      <formula>500</formula>
    </cfRule>
  </conditionalFormatting>
  <conditionalFormatting sqref="O4:O112">
    <cfRule type="containsText" dxfId="1" priority="1" operator="between" text="PASS">
      <formula>NOT(ISERROR(SEARCH("PASS",O4)))</formula>
    </cfRule>
    <cfRule type="containsText" dxfId="3" priority="2" operator="between" text="FAIL">
      <formula>NOT(ISERROR(SEARCH("FAIL",O4)))</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2"/>
  <sheetViews>
    <sheetView showGridLines="0" topLeftCell="A133" workbookViewId="0">
      <selection activeCell="A1" sqref="A1:I2"/>
    </sheetView>
  </sheetViews>
  <sheetFormatPr defaultColWidth="9" defaultRowHeight="16.8"/>
  <cols>
    <col min="1" max="1" width="16" customWidth="1"/>
    <col min="2" max="2" width="10" customWidth="1"/>
    <col min="3" max="3" width="38" customWidth="1"/>
    <col min="4" max="4" width="42" customWidth="1"/>
    <col min="5" max="5" width="38" customWidth="1"/>
    <col min="6" max="6" width="10" customWidth="1"/>
    <col min="7" max="7" width="18" customWidth="1"/>
    <col min="8" max="8" width="58" customWidth="1"/>
    <col min="9" max="9" width="18" customWidth="1"/>
  </cols>
  <sheetData>
    <row r="1" ht="48" customHeight="1" spans="1:9">
      <c r="A1" s="1" t="s">
        <v>544</v>
      </c>
      <c r="B1" s="1" t="s">
        <v>544</v>
      </c>
      <c r="C1" s="1" t="s">
        <v>544</v>
      </c>
      <c r="D1" s="1" t="s">
        <v>544</v>
      </c>
      <c r="E1" s="1" t="s">
        <v>544</v>
      </c>
      <c r="F1" s="1" t="s">
        <v>544</v>
      </c>
      <c r="G1" s="1" t="s">
        <v>544</v>
      </c>
      <c r="H1" s="1" t="s">
        <v>544</v>
      </c>
      <c r="I1" s="1" t="s">
        <v>544</v>
      </c>
    </row>
    <row r="2" ht="48" customHeight="1" spans="1:9">
      <c r="A2" s="1" t="s">
        <v>544</v>
      </c>
      <c r="B2" s="1" t="s">
        <v>544</v>
      </c>
      <c r="C2" s="1" t="s">
        <v>544</v>
      </c>
      <c r="D2" s="1" t="s">
        <v>544</v>
      </c>
      <c r="E2" s="1" t="s">
        <v>544</v>
      </c>
      <c r="F2" s="1" t="s">
        <v>544</v>
      </c>
      <c r="G2" s="1" t="s">
        <v>544</v>
      </c>
      <c r="H2" s="1" t="s">
        <v>544</v>
      </c>
      <c r="I2" s="1" t="s">
        <v>544</v>
      </c>
    </row>
    <row r="3" ht="17" spans="1:9">
      <c r="A3" s="2" t="s">
        <v>545</v>
      </c>
      <c r="B3" s="2" t="s">
        <v>65</v>
      </c>
      <c r="C3" s="2" t="s">
        <v>66</v>
      </c>
      <c r="D3" s="2" t="s">
        <v>546</v>
      </c>
      <c r="E3" s="2" t="s">
        <v>547</v>
      </c>
      <c r="F3" s="2" t="s">
        <v>548</v>
      </c>
      <c r="G3" s="2" t="s">
        <v>549</v>
      </c>
      <c r="H3" s="2" t="s">
        <v>550</v>
      </c>
      <c r="I3" s="2" t="s">
        <v>551</v>
      </c>
    </row>
    <row r="4" ht="42" customHeight="1" spans="1:9">
      <c r="A4" s="3" t="s">
        <v>552</v>
      </c>
      <c r="B4" s="3" t="s">
        <v>29</v>
      </c>
      <c r="C4" s="3" t="s">
        <v>81</v>
      </c>
      <c r="D4" s="3" t="s">
        <v>553</v>
      </c>
      <c r="E4" s="3" t="s">
        <v>89</v>
      </c>
      <c r="F4" s="3">
        <v>200</v>
      </c>
      <c r="G4" s="3" t="s">
        <v>2</v>
      </c>
      <c r="H4" s="3" t="s">
        <v>90</v>
      </c>
      <c r="I4" s="3" t="s">
        <v>554</v>
      </c>
    </row>
    <row r="5" ht="42" customHeight="1" spans="1:9">
      <c r="A5" s="3" t="s">
        <v>555</v>
      </c>
      <c r="B5" s="3" t="s">
        <v>29</v>
      </c>
      <c r="C5" s="3" t="s">
        <v>92</v>
      </c>
      <c r="D5" s="3" t="s">
        <v>553</v>
      </c>
      <c r="E5" s="3" t="s">
        <v>89</v>
      </c>
      <c r="F5" s="3">
        <v>200</v>
      </c>
      <c r="G5" s="3" t="s">
        <v>2</v>
      </c>
      <c r="H5" s="3" t="s">
        <v>96</v>
      </c>
      <c r="I5" s="3" t="s">
        <v>554</v>
      </c>
    </row>
    <row r="6" ht="42" customHeight="1" spans="1:9">
      <c r="A6" s="3" t="s">
        <v>556</v>
      </c>
      <c r="B6" s="3" t="s">
        <v>29</v>
      </c>
      <c r="C6" s="3" t="s">
        <v>97</v>
      </c>
      <c r="D6" s="3" t="s">
        <v>553</v>
      </c>
      <c r="E6" s="3" t="s">
        <v>89</v>
      </c>
      <c r="F6" s="3">
        <v>200</v>
      </c>
      <c r="G6" s="3" t="s">
        <v>2</v>
      </c>
      <c r="H6" s="3" t="s">
        <v>96</v>
      </c>
      <c r="I6" s="3" t="s">
        <v>554</v>
      </c>
    </row>
    <row r="7" ht="42" customHeight="1" spans="1:9">
      <c r="A7" s="3" t="s">
        <v>557</v>
      </c>
      <c r="B7" s="3" t="s">
        <v>29</v>
      </c>
      <c r="C7" s="3" t="s">
        <v>101</v>
      </c>
      <c r="D7" s="3" t="s">
        <v>553</v>
      </c>
      <c r="E7" s="3" t="s">
        <v>89</v>
      </c>
      <c r="F7" s="3">
        <v>200</v>
      </c>
      <c r="G7" s="3" t="s">
        <v>2</v>
      </c>
      <c r="H7" s="3" t="s">
        <v>90</v>
      </c>
      <c r="I7" s="3" t="s">
        <v>554</v>
      </c>
    </row>
    <row r="8" ht="42" customHeight="1" spans="1:9">
      <c r="A8" s="3" t="s">
        <v>558</v>
      </c>
      <c r="B8" s="3" t="s">
        <v>29</v>
      </c>
      <c r="C8" s="3" t="s">
        <v>106</v>
      </c>
      <c r="D8" s="3" t="s">
        <v>553</v>
      </c>
      <c r="E8" s="3" t="s">
        <v>89</v>
      </c>
      <c r="F8" s="3">
        <v>200</v>
      </c>
      <c r="G8" s="3" t="s">
        <v>2</v>
      </c>
      <c r="H8" s="3" t="s">
        <v>110</v>
      </c>
      <c r="I8" s="3" t="s">
        <v>554</v>
      </c>
    </row>
    <row r="9" ht="42" customHeight="1" spans="1:9">
      <c r="A9" s="3" t="s">
        <v>559</v>
      </c>
      <c r="B9" s="3" t="s">
        <v>29</v>
      </c>
      <c r="C9" s="3" t="s">
        <v>112</v>
      </c>
      <c r="D9" s="3" t="s">
        <v>553</v>
      </c>
      <c r="E9" s="3" t="s">
        <v>89</v>
      </c>
      <c r="F9" s="3">
        <v>200</v>
      </c>
      <c r="G9" s="3" t="s">
        <v>2</v>
      </c>
      <c r="H9" s="3" t="s">
        <v>96</v>
      </c>
      <c r="I9" s="3" t="s">
        <v>554</v>
      </c>
    </row>
    <row r="10" ht="42" customHeight="1" spans="1:9">
      <c r="A10" s="3" t="s">
        <v>560</v>
      </c>
      <c r="B10" s="3" t="s">
        <v>34</v>
      </c>
      <c r="C10" s="3" t="s">
        <v>118</v>
      </c>
      <c r="D10" s="3" t="s">
        <v>553</v>
      </c>
      <c r="E10" s="3" t="s">
        <v>121</v>
      </c>
      <c r="F10" s="3">
        <v>200</v>
      </c>
      <c r="G10" s="3" t="s">
        <v>2</v>
      </c>
      <c r="H10" s="3" t="s">
        <v>122</v>
      </c>
      <c r="I10" s="3" t="s">
        <v>554</v>
      </c>
    </row>
    <row r="11" ht="42" customHeight="1" spans="1:9">
      <c r="A11" s="3" t="s">
        <v>561</v>
      </c>
      <c r="B11" s="3" t="s">
        <v>29</v>
      </c>
      <c r="C11" s="3" t="s">
        <v>123</v>
      </c>
      <c r="D11" s="3" t="s">
        <v>553</v>
      </c>
      <c r="E11" s="3" t="s">
        <v>89</v>
      </c>
      <c r="F11" s="3">
        <v>200</v>
      </c>
      <c r="G11" s="3" t="s">
        <v>2</v>
      </c>
      <c r="H11" s="3" t="s">
        <v>126</v>
      </c>
      <c r="I11" s="3" t="s">
        <v>554</v>
      </c>
    </row>
    <row r="12" ht="42" customHeight="1" spans="1:9">
      <c r="A12" s="3" t="s">
        <v>562</v>
      </c>
      <c r="B12" s="3" t="s">
        <v>34</v>
      </c>
      <c r="C12" s="3" t="s">
        <v>127</v>
      </c>
      <c r="D12" s="3" t="s">
        <v>553</v>
      </c>
      <c r="E12" s="3" t="s">
        <v>121</v>
      </c>
      <c r="F12" s="3">
        <v>200</v>
      </c>
      <c r="G12" s="3" t="s">
        <v>2</v>
      </c>
      <c r="H12" s="3" t="s">
        <v>129</v>
      </c>
      <c r="I12" s="3" t="s">
        <v>554</v>
      </c>
    </row>
    <row r="13" ht="42" customHeight="1" spans="1:9">
      <c r="A13" s="3" t="s">
        <v>563</v>
      </c>
      <c r="B13" s="3" t="s">
        <v>29</v>
      </c>
      <c r="C13" s="3" t="s">
        <v>130</v>
      </c>
      <c r="D13" s="3" t="s">
        <v>553</v>
      </c>
      <c r="E13" s="3" t="s">
        <v>89</v>
      </c>
      <c r="F13" s="3">
        <v>200</v>
      </c>
      <c r="G13" s="3" t="s">
        <v>2</v>
      </c>
      <c r="H13" s="3" t="s">
        <v>96</v>
      </c>
      <c r="I13" s="3" t="s">
        <v>554</v>
      </c>
    </row>
    <row r="14" ht="42" customHeight="1" spans="1:9">
      <c r="A14" s="3" t="s">
        <v>564</v>
      </c>
      <c r="B14" s="3" t="s">
        <v>34</v>
      </c>
      <c r="C14" s="3" t="s">
        <v>132</v>
      </c>
      <c r="D14" s="3" t="s">
        <v>553</v>
      </c>
      <c r="E14" s="3" t="s">
        <v>121</v>
      </c>
      <c r="F14" s="3">
        <v>200</v>
      </c>
      <c r="G14" s="3" t="s">
        <v>2</v>
      </c>
      <c r="H14" s="3" t="s">
        <v>134</v>
      </c>
      <c r="I14" s="3" t="s">
        <v>554</v>
      </c>
    </row>
    <row r="15" ht="42" customHeight="1" spans="1:9">
      <c r="A15" s="3" t="s">
        <v>565</v>
      </c>
      <c r="B15" s="3" t="s">
        <v>34</v>
      </c>
      <c r="C15" s="3" t="s">
        <v>135</v>
      </c>
      <c r="D15" s="3" t="s">
        <v>553</v>
      </c>
      <c r="E15" s="3" t="s">
        <v>121</v>
      </c>
      <c r="F15" s="3">
        <v>200</v>
      </c>
      <c r="G15" s="3" t="s">
        <v>2</v>
      </c>
      <c r="H15" s="3" t="s">
        <v>139</v>
      </c>
      <c r="I15" s="3" t="s">
        <v>554</v>
      </c>
    </row>
    <row r="16" ht="42" customHeight="1" spans="1:9">
      <c r="A16" s="3" t="s">
        <v>566</v>
      </c>
      <c r="B16" s="3" t="s">
        <v>29</v>
      </c>
      <c r="C16" s="3" t="s">
        <v>140</v>
      </c>
      <c r="D16" s="3" t="s">
        <v>553</v>
      </c>
      <c r="E16" s="3" t="s">
        <v>89</v>
      </c>
      <c r="F16" s="3">
        <v>200</v>
      </c>
      <c r="G16" s="3" t="s">
        <v>2</v>
      </c>
      <c r="H16" s="3" t="s">
        <v>142</v>
      </c>
      <c r="I16" s="3" t="s">
        <v>554</v>
      </c>
    </row>
    <row r="17" ht="42" customHeight="1" spans="1:9">
      <c r="A17" s="3" t="s">
        <v>567</v>
      </c>
      <c r="B17" s="3" t="s">
        <v>34</v>
      </c>
      <c r="C17" s="3" t="s">
        <v>144</v>
      </c>
      <c r="D17" s="3" t="s">
        <v>568</v>
      </c>
      <c r="E17" s="3" t="s">
        <v>150</v>
      </c>
      <c r="F17" s="3">
        <v>401</v>
      </c>
      <c r="G17" s="3" t="s">
        <v>2</v>
      </c>
      <c r="H17" s="3" t="s">
        <v>151</v>
      </c>
      <c r="I17" s="3" t="s">
        <v>554</v>
      </c>
    </row>
    <row r="18" ht="42" customHeight="1" spans="1:9">
      <c r="A18" s="3" t="s">
        <v>569</v>
      </c>
      <c r="B18" s="3" t="s">
        <v>34</v>
      </c>
      <c r="C18" s="3" t="s">
        <v>153</v>
      </c>
      <c r="D18" s="3" t="s">
        <v>553</v>
      </c>
      <c r="E18" s="3" t="s">
        <v>121</v>
      </c>
      <c r="F18" s="3">
        <v>200</v>
      </c>
      <c r="G18" s="3" t="s">
        <v>2</v>
      </c>
      <c r="H18" s="3" t="s">
        <v>157</v>
      </c>
      <c r="I18" s="3" t="s">
        <v>554</v>
      </c>
    </row>
    <row r="19" ht="42" customHeight="1" spans="1:9">
      <c r="A19" s="3" t="s">
        <v>570</v>
      </c>
      <c r="B19" s="3" t="s">
        <v>34</v>
      </c>
      <c r="C19" s="3" t="s">
        <v>159</v>
      </c>
      <c r="D19" s="3" t="s">
        <v>571</v>
      </c>
      <c r="E19" s="3" t="s">
        <v>161</v>
      </c>
      <c r="F19" s="3">
        <v>200</v>
      </c>
      <c r="G19" s="3" t="s">
        <v>2</v>
      </c>
      <c r="H19" s="3" t="s">
        <v>162</v>
      </c>
      <c r="I19" s="3" t="s">
        <v>554</v>
      </c>
    </row>
    <row r="20" ht="42" customHeight="1" spans="1:9">
      <c r="A20" s="3" t="s">
        <v>572</v>
      </c>
      <c r="B20" s="3" t="s">
        <v>34</v>
      </c>
      <c r="C20" s="3" t="s">
        <v>164</v>
      </c>
      <c r="D20" s="3" t="s">
        <v>553</v>
      </c>
      <c r="E20" s="3" t="s">
        <v>121</v>
      </c>
      <c r="F20" s="3">
        <v>200</v>
      </c>
      <c r="G20" s="3" t="s">
        <v>2</v>
      </c>
      <c r="H20" s="3" t="s">
        <v>168</v>
      </c>
      <c r="I20" s="3" t="s">
        <v>554</v>
      </c>
    </row>
    <row r="21" ht="42" customHeight="1" spans="1:9">
      <c r="A21" s="3" t="s">
        <v>573</v>
      </c>
      <c r="B21" s="3" t="s">
        <v>34</v>
      </c>
      <c r="C21" s="3" t="s">
        <v>170</v>
      </c>
      <c r="D21" s="3" t="s">
        <v>553</v>
      </c>
      <c r="E21" s="3" t="s">
        <v>175</v>
      </c>
      <c r="F21" s="3">
        <v>201</v>
      </c>
      <c r="G21" s="3" t="s">
        <v>2</v>
      </c>
      <c r="H21" s="3" t="s">
        <v>176</v>
      </c>
      <c r="I21" s="3" t="s">
        <v>554</v>
      </c>
    </row>
    <row r="22" ht="42" customHeight="1" spans="1:9">
      <c r="A22" s="3" t="s">
        <v>574</v>
      </c>
      <c r="B22" s="3" t="s">
        <v>41</v>
      </c>
      <c r="C22" s="3" t="s">
        <v>177</v>
      </c>
      <c r="D22" s="3" t="s">
        <v>553</v>
      </c>
      <c r="E22" s="3" t="s">
        <v>181</v>
      </c>
      <c r="F22" s="3">
        <v>204</v>
      </c>
      <c r="G22" s="3" t="s">
        <v>2</v>
      </c>
      <c r="H22" s="3" t="s">
        <v>182</v>
      </c>
      <c r="I22" s="3" t="s">
        <v>554</v>
      </c>
    </row>
    <row r="23" ht="42" customHeight="1" spans="1:9">
      <c r="A23" s="3" t="s">
        <v>575</v>
      </c>
      <c r="B23" s="3" t="s">
        <v>29</v>
      </c>
      <c r="C23" s="3" t="s">
        <v>177</v>
      </c>
      <c r="D23" s="3" t="s">
        <v>553</v>
      </c>
      <c r="E23" s="3" t="s">
        <v>89</v>
      </c>
      <c r="F23" s="3">
        <v>200</v>
      </c>
      <c r="G23" s="3" t="s">
        <v>2</v>
      </c>
      <c r="H23" s="3" t="s">
        <v>176</v>
      </c>
      <c r="I23" s="3" t="s">
        <v>554</v>
      </c>
    </row>
    <row r="24" ht="42" customHeight="1" spans="1:9">
      <c r="A24" s="3" t="s">
        <v>576</v>
      </c>
      <c r="B24" s="3" t="s">
        <v>29</v>
      </c>
      <c r="C24" s="3" t="s">
        <v>184</v>
      </c>
      <c r="D24" s="3" t="s">
        <v>553</v>
      </c>
      <c r="E24" s="3" t="s">
        <v>89</v>
      </c>
      <c r="F24" s="3">
        <v>200</v>
      </c>
      <c r="G24" s="3" t="s">
        <v>2</v>
      </c>
      <c r="H24" s="3" t="s">
        <v>188</v>
      </c>
      <c r="I24" s="3" t="s">
        <v>554</v>
      </c>
    </row>
    <row r="25" ht="42" customHeight="1" spans="1:9">
      <c r="A25" s="3" t="s">
        <v>577</v>
      </c>
      <c r="B25" s="3" t="s">
        <v>29</v>
      </c>
      <c r="C25" s="3" t="s">
        <v>189</v>
      </c>
      <c r="D25" s="3" t="s">
        <v>553</v>
      </c>
      <c r="E25" s="3" t="s">
        <v>89</v>
      </c>
      <c r="F25" s="3">
        <v>200</v>
      </c>
      <c r="G25" s="3" t="s">
        <v>2</v>
      </c>
      <c r="H25" s="3" t="s">
        <v>96</v>
      </c>
      <c r="I25" s="3" t="s">
        <v>554</v>
      </c>
    </row>
    <row r="26" ht="42" customHeight="1" spans="1:9">
      <c r="A26" s="3" t="s">
        <v>578</v>
      </c>
      <c r="B26" s="3" t="s">
        <v>29</v>
      </c>
      <c r="C26" s="3" t="s">
        <v>192</v>
      </c>
      <c r="D26" s="3" t="s">
        <v>553</v>
      </c>
      <c r="E26" s="3" t="s">
        <v>195</v>
      </c>
      <c r="F26" s="3">
        <v>200</v>
      </c>
      <c r="G26" s="3" t="s">
        <v>2</v>
      </c>
      <c r="H26" s="3" t="s">
        <v>196</v>
      </c>
      <c r="I26" s="3" t="s">
        <v>554</v>
      </c>
    </row>
    <row r="27" ht="42" customHeight="1" spans="1:9">
      <c r="A27" s="3" t="s">
        <v>579</v>
      </c>
      <c r="B27" s="3" t="s">
        <v>29</v>
      </c>
      <c r="C27" s="3" t="s">
        <v>197</v>
      </c>
      <c r="D27" s="3" t="s">
        <v>553</v>
      </c>
      <c r="E27" s="3" t="s">
        <v>199</v>
      </c>
      <c r="F27" s="3">
        <v>200</v>
      </c>
      <c r="G27" s="3" t="s">
        <v>2</v>
      </c>
      <c r="H27" s="3" t="s">
        <v>200</v>
      </c>
      <c r="I27" s="3" t="s">
        <v>554</v>
      </c>
    </row>
    <row r="28" ht="42" customHeight="1" spans="1:9">
      <c r="A28" s="3" t="s">
        <v>580</v>
      </c>
      <c r="B28" s="3" t="s">
        <v>34</v>
      </c>
      <c r="C28" s="3" t="s">
        <v>202</v>
      </c>
      <c r="D28" s="3" t="s">
        <v>553</v>
      </c>
      <c r="E28" s="3" t="s">
        <v>175</v>
      </c>
      <c r="F28" s="3">
        <v>201</v>
      </c>
      <c r="G28" s="3" t="s">
        <v>2</v>
      </c>
      <c r="H28" s="3" t="s">
        <v>207</v>
      </c>
      <c r="I28" s="3" t="s">
        <v>554</v>
      </c>
    </row>
    <row r="29" ht="42" customHeight="1" spans="1:9">
      <c r="A29" s="3" t="s">
        <v>581</v>
      </c>
      <c r="B29" s="3" t="s">
        <v>41</v>
      </c>
      <c r="C29" s="3" t="s">
        <v>208</v>
      </c>
      <c r="D29" s="3" t="s">
        <v>553</v>
      </c>
      <c r="E29" s="3" t="s">
        <v>181</v>
      </c>
      <c r="F29" s="3">
        <v>204</v>
      </c>
      <c r="G29" s="3" t="s">
        <v>2</v>
      </c>
      <c r="H29" s="3" t="s">
        <v>182</v>
      </c>
      <c r="I29" s="3" t="s">
        <v>554</v>
      </c>
    </row>
    <row r="30" ht="42" customHeight="1" spans="1:9">
      <c r="A30" s="3" t="s">
        <v>582</v>
      </c>
      <c r="B30" s="3" t="s">
        <v>29</v>
      </c>
      <c r="C30" s="3" t="s">
        <v>208</v>
      </c>
      <c r="D30" s="3" t="s">
        <v>553</v>
      </c>
      <c r="E30" s="3" t="s">
        <v>89</v>
      </c>
      <c r="F30" s="3">
        <v>200</v>
      </c>
      <c r="G30" s="3" t="s">
        <v>2</v>
      </c>
      <c r="H30" s="3" t="s">
        <v>207</v>
      </c>
      <c r="I30" s="3" t="s">
        <v>554</v>
      </c>
    </row>
    <row r="31" ht="42" customHeight="1" spans="1:9">
      <c r="A31" s="3" t="s">
        <v>583</v>
      </c>
      <c r="B31" s="3" t="s">
        <v>37</v>
      </c>
      <c r="C31" s="3" t="s">
        <v>211</v>
      </c>
      <c r="D31" s="3" t="s">
        <v>553</v>
      </c>
      <c r="E31" s="3" t="s">
        <v>181</v>
      </c>
      <c r="F31" s="3">
        <v>204</v>
      </c>
      <c r="G31" s="3" t="s">
        <v>2</v>
      </c>
      <c r="H31" s="3" t="s">
        <v>182</v>
      </c>
      <c r="I31" s="3" t="s">
        <v>554</v>
      </c>
    </row>
    <row r="32" ht="42" customHeight="1" spans="1:9">
      <c r="A32" s="3" t="s">
        <v>584</v>
      </c>
      <c r="B32" s="3" t="s">
        <v>29</v>
      </c>
      <c r="C32" s="3" t="s">
        <v>215</v>
      </c>
      <c r="D32" s="3" t="s">
        <v>553</v>
      </c>
      <c r="E32" s="3" t="s">
        <v>89</v>
      </c>
      <c r="F32" s="3">
        <v>200</v>
      </c>
      <c r="G32" s="3" t="s">
        <v>2</v>
      </c>
      <c r="H32" s="3" t="s">
        <v>96</v>
      </c>
      <c r="I32" s="3" t="s">
        <v>554</v>
      </c>
    </row>
    <row r="33" ht="42" customHeight="1" spans="1:9">
      <c r="A33" s="3" t="s">
        <v>585</v>
      </c>
      <c r="B33" s="3" t="s">
        <v>29</v>
      </c>
      <c r="C33" s="3" t="s">
        <v>219</v>
      </c>
      <c r="D33" s="3" t="s">
        <v>553</v>
      </c>
      <c r="E33" s="3" t="s">
        <v>89</v>
      </c>
      <c r="F33" s="3">
        <v>200</v>
      </c>
      <c r="G33" s="3" t="s">
        <v>2</v>
      </c>
      <c r="H33" s="3" t="s">
        <v>223</v>
      </c>
      <c r="I33" s="3" t="s">
        <v>554</v>
      </c>
    </row>
    <row r="34" ht="42" customHeight="1" spans="1:9">
      <c r="A34" s="3" t="s">
        <v>586</v>
      </c>
      <c r="B34" s="3" t="s">
        <v>34</v>
      </c>
      <c r="C34" s="3" t="s">
        <v>225</v>
      </c>
      <c r="D34" s="3" t="s">
        <v>553</v>
      </c>
      <c r="E34" s="3" t="s">
        <v>175</v>
      </c>
      <c r="F34" s="3">
        <v>201</v>
      </c>
      <c r="G34" s="3" t="s">
        <v>2</v>
      </c>
      <c r="H34" s="3" t="s">
        <v>230</v>
      </c>
      <c r="I34" s="3" t="s">
        <v>554</v>
      </c>
    </row>
    <row r="35" ht="42" customHeight="1" spans="1:9">
      <c r="A35" s="3" t="s">
        <v>587</v>
      </c>
      <c r="B35" s="3" t="s">
        <v>41</v>
      </c>
      <c r="C35" s="3" t="s">
        <v>231</v>
      </c>
      <c r="D35" s="3" t="s">
        <v>553</v>
      </c>
      <c r="E35" s="3" t="s">
        <v>181</v>
      </c>
      <c r="F35" s="3">
        <v>204</v>
      </c>
      <c r="G35" s="3" t="s">
        <v>2</v>
      </c>
      <c r="H35" s="3" t="s">
        <v>182</v>
      </c>
      <c r="I35" s="3" t="s">
        <v>554</v>
      </c>
    </row>
    <row r="36" ht="42" customHeight="1" spans="1:9">
      <c r="A36" s="3" t="s">
        <v>588</v>
      </c>
      <c r="B36" s="3" t="s">
        <v>29</v>
      </c>
      <c r="C36" s="3" t="s">
        <v>231</v>
      </c>
      <c r="D36" s="3" t="s">
        <v>553</v>
      </c>
      <c r="E36" s="3" t="s">
        <v>89</v>
      </c>
      <c r="F36" s="3">
        <v>200</v>
      </c>
      <c r="G36" s="3" t="s">
        <v>2</v>
      </c>
      <c r="H36" s="3" t="s">
        <v>234</v>
      </c>
      <c r="I36" s="3" t="s">
        <v>554</v>
      </c>
    </row>
    <row r="37" ht="42" customHeight="1" spans="1:9">
      <c r="A37" s="3" t="s">
        <v>589</v>
      </c>
      <c r="B37" s="3" t="s">
        <v>37</v>
      </c>
      <c r="C37" s="3" t="s">
        <v>231</v>
      </c>
      <c r="D37" s="3" t="s">
        <v>553</v>
      </c>
      <c r="E37" s="3" t="s">
        <v>181</v>
      </c>
      <c r="F37" s="3">
        <v>204</v>
      </c>
      <c r="G37" s="3" t="s">
        <v>2</v>
      </c>
      <c r="H37" s="3" t="s">
        <v>182</v>
      </c>
      <c r="I37" s="3" t="s">
        <v>554</v>
      </c>
    </row>
    <row r="38" ht="42" customHeight="1" spans="1:9">
      <c r="A38" s="3" t="s">
        <v>590</v>
      </c>
      <c r="B38" s="3" t="s">
        <v>34</v>
      </c>
      <c r="C38" s="3" t="s">
        <v>238</v>
      </c>
      <c r="D38" s="3" t="s">
        <v>553</v>
      </c>
      <c r="E38" s="3" t="s">
        <v>121</v>
      </c>
      <c r="F38" s="3">
        <v>200</v>
      </c>
      <c r="G38" s="3" t="s">
        <v>2</v>
      </c>
      <c r="H38" s="3" t="s">
        <v>242</v>
      </c>
      <c r="I38" s="3" t="s">
        <v>554</v>
      </c>
    </row>
    <row r="39" ht="42" customHeight="1" spans="1:9">
      <c r="A39" s="3" t="s">
        <v>591</v>
      </c>
      <c r="B39" s="3" t="s">
        <v>41</v>
      </c>
      <c r="C39" s="3" t="s">
        <v>243</v>
      </c>
      <c r="D39" s="3" t="s">
        <v>553</v>
      </c>
      <c r="E39" s="3" t="s">
        <v>181</v>
      </c>
      <c r="F39" s="3">
        <v>204</v>
      </c>
      <c r="G39" s="3" t="s">
        <v>2</v>
      </c>
      <c r="H39" s="3" t="s">
        <v>182</v>
      </c>
      <c r="I39" s="3" t="s">
        <v>554</v>
      </c>
    </row>
    <row r="40" ht="42" customHeight="1" spans="1:9">
      <c r="A40" s="3" t="s">
        <v>592</v>
      </c>
      <c r="B40" s="3" t="s">
        <v>37</v>
      </c>
      <c r="C40" s="3" t="s">
        <v>247</v>
      </c>
      <c r="D40" s="3" t="s">
        <v>553</v>
      </c>
      <c r="E40" s="3" t="s">
        <v>181</v>
      </c>
      <c r="F40" s="3">
        <v>204</v>
      </c>
      <c r="G40" s="3" t="s">
        <v>2</v>
      </c>
      <c r="H40" s="3" t="s">
        <v>182</v>
      </c>
      <c r="I40" s="3" t="s">
        <v>554</v>
      </c>
    </row>
    <row r="41" ht="42" customHeight="1" spans="1:9">
      <c r="A41" s="3" t="s">
        <v>593</v>
      </c>
      <c r="B41" s="3" t="s">
        <v>29</v>
      </c>
      <c r="C41" s="3" t="s">
        <v>251</v>
      </c>
      <c r="D41" s="3" t="s">
        <v>553</v>
      </c>
      <c r="E41" s="3" t="s">
        <v>89</v>
      </c>
      <c r="F41" s="3">
        <v>200</v>
      </c>
      <c r="G41" s="3" t="s">
        <v>2</v>
      </c>
      <c r="H41" s="3" t="s">
        <v>96</v>
      </c>
      <c r="I41" s="3" t="s">
        <v>554</v>
      </c>
    </row>
    <row r="42" ht="42" customHeight="1" spans="1:9">
      <c r="A42" s="3" t="s">
        <v>594</v>
      </c>
      <c r="B42" s="3" t="s">
        <v>29</v>
      </c>
      <c r="C42" s="3" t="s">
        <v>254</v>
      </c>
      <c r="D42" s="3" t="s">
        <v>553</v>
      </c>
      <c r="E42" s="3" t="s">
        <v>89</v>
      </c>
      <c r="F42" s="3">
        <v>200</v>
      </c>
      <c r="G42" s="3" t="s">
        <v>2</v>
      </c>
      <c r="H42" s="3" t="s">
        <v>96</v>
      </c>
      <c r="I42" s="3" t="s">
        <v>554</v>
      </c>
    </row>
    <row r="43" ht="42" customHeight="1" spans="1:9">
      <c r="A43" s="3" t="s">
        <v>595</v>
      </c>
      <c r="B43" s="3" t="s">
        <v>29</v>
      </c>
      <c r="C43" s="3" t="s">
        <v>256</v>
      </c>
      <c r="D43" s="3" t="s">
        <v>553</v>
      </c>
      <c r="E43" s="3" t="s">
        <v>89</v>
      </c>
      <c r="F43" s="3">
        <v>200</v>
      </c>
      <c r="G43" s="3" t="s">
        <v>2</v>
      </c>
      <c r="H43" s="3" t="s">
        <v>258</v>
      </c>
      <c r="I43" s="3" t="s">
        <v>554</v>
      </c>
    </row>
    <row r="44" ht="42" customHeight="1" spans="1:9">
      <c r="A44" s="3" t="s">
        <v>596</v>
      </c>
      <c r="B44" s="3" t="s">
        <v>41</v>
      </c>
      <c r="C44" s="3" t="s">
        <v>260</v>
      </c>
      <c r="D44" s="3" t="s">
        <v>553</v>
      </c>
      <c r="E44" s="3" t="s">
        <v>181</v>
      </c>
      <c r="F44" s="3">
        <v>204</v>
      </c>
      <c r="G44" s="3" t="s">
        <v>2</v>
      </c>
      <c r="H44" s="3" t="s">
        <v>182</v>
      </c>
      <c r="I44" s="3" t="s">
        <v>554</v>
      </c>
    </row>
    <row r="45" ht="42" customHeight="1" spans="1:9">
      <c r="A45" s="3" t="s">
        <v>597</v>
      </c>
      <c r="B45" s="3" t="s">
        <v>37</v>
      </c>
      <c r="C45" s="3" t="s">
        <v>263</v>
      </c>
      <c r="D45" s="3" t="s">
        <v>553</v>
      </c>
      <c r="E45" s="3" t="s">
        <v>181</v>
      </c>
      <c r="F45" s="3">
        <v>204</v>
      </c>
      <c r="G45" s="3" t="s">
        <v>2</v>
      </c>
      <c r="H45" s="3" t="s">
        <v>182</v>
      </c>
      <c r="I45" s="3" t="s">
        <v>554</v>
      </c>
    </row>
    <row r="46" ht="42" customHeight="1" spans="1:9">
      <c r="A46" s="3" t="s">
        <v>598</v>
      </c>
      <c r="B46" s="3" t="s">
        <v>29</v>
      </c>
      <c r="C46" s="3" t="s">
        <v>265</v>
      </c>
      <c r="D46" s="3" t="s">
        <v>553</v>
      </c>
      <c r="E46" s="3" t="s">
        <v>89</v>
      </c>
      <c r="F46" s="3">
        <v>200</v>
      </c>
      <c r="G46" s="3" t="s">
        <v>2</v>
      </c>
      <c r="H46" s="3" t="s">
        <v>268</v>
      </c>
      <c r="I46" s="3" t="s">
        <v>554</v>
      </c>
    </row>
    <row r="47" ht="42" customHeight="1" spans="1:9">
      <c r="A47" s="3" t="s">
        <v>599</v>
      </c>
      <c r="B47" s="3" t="s">
        <v>37</v>
      </c>
      <c r="C47" s="3" t="s">
        <v>269</v>
      </c>
      <c r="D47" s="3" t="s">
        <v>553</v>
      </c>
      <c r="E47" s="3" t="s">
        <v>181</v>
      </c>
      <c r="F47" s="3">
        <v>204</v>
      </c>
      <c r="G47" s="3" t="s">
        <v>2</v>
      </c>
      <c r="H47" s="3" t="s">
        <v>182</v>
      </c>
      <c r="I47" s="3" t="s">
        <v>554</v>
      </c>
    </row>
    <row r="48" ht="42" customHeight="1" spans="1:9">
      <c r="A48" s="3" t="s">
        <v>600</v>
      </c>
      <c r="B48" s="3" t="s">
        <v>29</v>
      </c>
      <c r="C48" s="3" t="s">
        <v>271</v>
      </c>
      <c r="D48" s="3" t="s">
        <v>553</v>
      </c>
      <c r="E48" s="3" t="s">
        <v>89</v>
      </c>
      <c r="F48" s="3">
        <v>200</v>
      </c>
      <c r="G48" s="3" t="s">
        <v>2</v>
      </c>
      <c r="H48" s="3" t="s">
        <v>273</v>
      </c>
      <c r="I48" s="3" t="s">
        <v>554</v>
      </c>
    </row>
    <row r="49" ht="42" customHeight="1" spans="1:9">
      <c r="A49" s="3" t="s">
        <v>601</v>
      </c>
      <c r="B49" s="3" t="s">
        <v>29</v>
      </c>
      <c r="C49" s="3" t="s">
        <v>275</v>
      </c>
      <c r="D49" s="3" t="s">
        <v>553</v>
      </c>
      <c r="E49" s="3" t="s">
        <v>89</v>
      </c>
      <c r="F49" s="3">
        <v>200</v>
      </c>
      <c r="G49" s="3" t="s">
        <v>2</v>
      </c>
      <c r="H49" s="3" t="s">
        <v>280</v>
      </c>
      <c r="I49" s="3" t="s">
        <v>554</v>
      </c>
    </row>
    <row r="50" ht="42" customHeight="1" spans="1:9">
      <c r="A50" s="3" t="s">
        <v>602</v>
      </c>
      <c r="B50" s="3" t="s">
        <v>29</v>
      </c>
      <c r="C50" s="3" t="s">
        <v>281</v>
      </c>
      <c r="D50" s="3" t="s">
        <v>553</v>
      </c>
      <c r="E50" s="3" t="s">
        <v>89</v>
      </c>
      <c r="F50" s="3">
        <v>200</v>
      </c>
      <c r="G50" s="3" t="s">
        <v>2</v>
      </c>
      <c r="H50" s="3" t="s">
        <v>283</v>
      </c>
      <c r="I50" s="3" t="s">
        <v>554</v>
      </c>
    </row>
    <row r="51" ht="42" customHeight="1" spans="1:9">
      <c r="A51" s="3" t="s">
        <v>603</v>
      </c>
      <c r="B51" s="3" t="s">
        <v>29</v>
      </c>
      <c r="C51" s="3" t="s">
        <v>284</v>
      </c>
      <c r="D51" s="3" t="s">
        <v>553</v>
      </c>
      <c r="E51" s="3" t="s">
        <v>89</v>
      </c>
      <c r="F51" s="3">
        <v>200</v>
      </c>
      <c r="G51" s="3" t="s">
        <v>2</v>
      </c>
      <c r="H51" s="3" t="s">
        <v>288</v>
      </c>
      <c r="I51" s="3" t="s">
        <v>554</v>
      </c>
    </row>
    <row r="52" ht="42" customHeight="1" spans="1:9">
      <c r="A52" s="3" t="s">
        <v>604</v>
      </c>
      <c r="B52" s="3" t="s">
        <v>34</v>
      </c>
      <c r="C52" s="3" t="s">
        <v>289</v>
      </c>
      <c r="D52" s="3" t="s">
        <v>553</v>
      </c>
      <c r="E52" s="3" t="s">
        <v>121</v>
      </c>
      <c r="F52" s="3">
        <v>200</v>
      </c>
      <c r="G52" s="3" t="s">
        <v>2</v>
      </c>
      <c r="H52" s="3" t="s">
        <v>293</v>
      </c>
      <c r="I52" s="3" t="s">
        <v>554</v>
      </c>
    </row>
    <row r="53" ht="42" customHeight="1" spans="1:9">
      <c r="A53" s="3" t="s">
        <v>605</v>
      </c>
      <c r="B53" s="3" t="s">
        <v>29</v>
      </c>
      <c r="C53" s="3" t="s">
        <v>294</v>
      </c>
      <c r="D53" s="3" t="s">
        <v>553</v>
      </c>
      <c r="E53" s="3" t="s">
        <v>89</v>
      </c>
      <c r="F53" s="3">
        <v>200</v>
      </c>
      <c r="G53" s="3" t="s">
        <v>2</v>
      </c>
      <c r="H53" s="3" t="s">
        <v>296</v>
      </c>
      <c r="I53" s="3" t="s">
        <v>554</v>
      </c>
    </row>
    <row r="54" ht="42" customHeight="1" spans="1:9">
      <c r="A54" s="3" t="s">
        <v>606</v>
      </c>
      <c r="B54" s="3" t="s">
        <v>29</v>
      </c>
      <c r="C54" s="3" t="s">
        <v>297</v>
      </c>
      <c r="D54" s="3" t="s">
        <v>553</v>
      </c>
      <c r="E54" s="3" t="s">
        <v>89</v>
      </c>
      <c r="F54" s="3">
        <v>200</v>
      </c>
      <c r="G54" s="3" t="s">
        <v>2</v>
      </c>
      <c r="H54" s="3" t="s">
        <v>299</v>
      </c>
      <c r="I54" s="3" t="s">
        <v>554</v>
      </c>
    </row>
    <row r="55" ht="42" customHeight="1" spans="1:9">
      <c r="A55" s="3" t="s">
        <v>607</v>
      </c>
      <c r="B55" s="3" t="s">
        <v>29</v>
      </c>
      <c r="C55" s="3" t="s">
        <v>300</v>
      </c>
      <c r="D55" s="3" t="s">
        <v>553</v>
      </c>
      <c r="E55" s="3" t="s">
        <v>89</v>
      </c>
      <c r="F55" s="3">
        <v>200</v>
      </c>
      <c r="G55" s="3" t="s">
        <v>2</v>
      </c>
      <c r="H55" s="3" t="s">
        <v>302</v>
      </c>
      <c r="I55" s="3" t="s">
        <v>554</v>
      </c>
    </row>
    <row r="56" ht="42" customHeight="1" spans="1:9">
      <c r="A56" s="3" t="s">
        <v>608</v>
      </c>
      <c r="B56" s="3" t="s">
        <v>29</v>
      </c>
      <c r="C56" s="3" t="s">
        <v>304</v>
      </c>
      <c r="D56" s="3" t="s">
        <v>553</v>
      </c>
      <c r="E56" s="3" t="s">
        <v>89</v>
      </c>
      <c r="F56" s="3">
        <v>200</v>
      </c>
      <c r="G56" s="3" t="s">
        <v>2</v>
      </c>
      <c r="H56" s="3" t="s">
        <v>307</v>
      </c>
      <c r="I56" s="3" t="s">
        <v>554</v>
      </c>
    </row>
    <row r="57" ht="42" customHeight="1" spans="1:9">
      <c r="A57" s="3" t="s">
        <v>609</v>
      </c>
      <c r="B57" s="3" t="s">
        <v>34</v>
      </c>
      <c r="C57" s="3" t="s">
        <v>304</v>
      </c>
      <c r="D57" s="3" t="s">
        <v>553</v>
      </c>
      <c r="E57" s="3" t="s">
        <v>175</v>
      </c>
      <c r="F57" s="3">
        <v>201</v>
      </c>
      <c r="G57" s="3" t="s">
        <v>2</v>
      </c>
      <c r="H57" s="3" t="s">
        <v>311</v>
      </c>
      <c r="I57" s="3" t="s">
        <v>554</v>
      </c>
    </row>
    <row r="58" ht="42" customHeight="1" spans="1:9">
      <c r="A58" s="3" t="s">
        <v>610</v>
      </c>
      <c r="B58" s="3" t="s">
        <v>41</v>
      </c>
      <c r="C58" s="3" t="s">
        <v>312</v>
      </c>
      <c r="D58" s="3" t="s">
        <v>553</v>
      </c>
      <c r="E58" s="3" t="s">
        <v>181</v>
      </c>
      <c r="F58" s="3">
        <v>204</v>
      </c>
      <c r="G58" s="3" t="s">
        <v>2</v>
      </c>
      <c r="H58" s="3" t="s">
        <v>182</v>
      </c>
      <c r="I58" s="3" t="s">
        <v>554</v>
      </c>
    </row>
    <row r="59" ht="42" customHeight="1" spans="1:9">
      <c r="A59" s="3" t="s">
        <v>611</v>
      </c>
      <c r="B59" s="3" t="s">
        <v>29</v>
      </c>
      <c r="C59" s="3" t="s">
        <v>312</v>
      </c>
      <c r="D59" s="3" t="s">
        <v>553</v>
      </c>
      <c r="E59" s="3" t="s">
        <v>89</v>
      </c>
      <c r="F59" s="3">
        <v>200</v>
      </c>
      <c r="G59" s="3" t="s">
        <v>2</v>
      </c>
      <c r="H59" s="3" t="s">
        <v>316</v>
      </c>
      <c r="I59" s="3" t="s">
        <v>554</v>
      </c>
    </row>
    <row r="60" ht="42" customHeight="1" spans="1:9">
      <c r="A60" s="3" t="s">
        <v>612</v>
      </c>
      <c r="B60" s="3" t="s">
        <v>37</v>
      </c>
      <c r="C60" s="3" t="s">
        <v>312</v>
      </c>
      <c r="D60" s="3" t="s">
        <v>553</v>
      </c>
      <c r="E60" s="3" t="s">
        <v>181</v>
      </c>
      <c r="F60" s="3">
        <v>204</v>
      </c>
      <c r="G60" s="3" t="s">
        <v>2</v>
      </c>
      <c r="H60" s="3" t="s">
        <v>182</v>
      </c>
      <c r="I60" s="3" t="s">
        <v>554</v>
      </c>
    </row>
    <row r="61" ht="42" customHeight="1" spans="1:9">
      <c r="A61" s="3" t="s">
        <v>613</v>
      </c>
      <c r="B61" s="3" t="s">
        <v>34</v>
      </c>
      <c r="C61" s="3" t="s">
        <v>320</v>
      </c>
      <c r="D61" s="3" t="s">
        <v>553</v>
      </c>
      <c r="E61" s="3" t="s">
        <v>121</v>
      </c>
      <c r="F61" s="3">
        <v>200</v>
      </c>
      <c r="G61" s="3" t="s">
        <v>2</v>
      </c>
      <c r="H61" s="3" t="s">
        <v>322</v>
      </c>
      <c r="I61" s="3" t="s">
        <v>554</v>
      </c>
    </row>
    <row r="62" ht="42" customHeight="1" spans="1:9">
      <c r="A62" s="3" t="s">
        <v>614</v>
      </c>
      <c r="B62" s="3" t="s">
        <v>34</v>
      </c>
      <c r="C62" s="3" t="s">
        <v>323</v>
      </c>
      <c r="D62" s="3" t="s">
        <v>553</v>
      </c>
      <c r="E62" s="3" t="s">
        <v>121</v>
      </c>
      <c r="F62" s="3">
        <v>200</v>
      </c>
      <c r="G62" s="3" t="s">
        <v>2</v>
      </c>
      <c r="H62" s="3" t="s">
        <v>327</v>
      </c>
      <c r="I62" s="3" t="s">
        <v>554</v>
      </c>
    </row>
    <row r="63" ht="42" customHeight="1" spans="1:9">
      <c r="A63" s="3" t="s">
        <v>615</v>
      </c>
      <c r="B63" s="3" t="s">
        <v>29</v>
      </c>
      <c r="C63" s="3" t="s">
        <v>328</v>
      </c>
      <c r="D63" s="3" t="s">
        <v>553</v>
      </c>
      <c r="E63" s="3" t="s">
        <v>89</v>
      </c>
      <c r="F63" s="3">
        <v>200</v>
      </c>
      <c r="G63" s="3" t="s">
        <v>2</v>
      </c>
      <c r="H63" s="3" t="s">
        <v>331</v>
      </c>
      <c r="I63" s="3" t="s">
        <v>554</v>
      </c>
    </row>
    <row r="64" ht="42" customHeight="1" spans="1:9">
      <c r="A64" s="3" t="s">
        <v>616</v>
      </c>
      <c r="B64" s="3" t="s">
        <v>29</v>
      </c>
      <c r="C64" s="3" t="s">
        <v>333</v>
      </c>
      <c r="D64" s="3" t="s">
        <v>553</v>
      </c>
      <c r="E64" s="3" t="s">
        <v>89</v>
      </c>
      <c r="F64" s="3">
        <v>200</v>
      </c>
      <c r="G64" s="3" t="s">
        <v>2</v>
      </c>
      <c r="H64" s="3" t="s">
        <v>336</v>
      </c>
      <c r="I64" s="3" t="s">
        <v>554</v>
      </c>
    </row>
    <row r="65" ht="42" customHeight="1" spans="1:9">
      <c r="A65" s="3" t="s">
        <v>617</v>
      </c>
      <c r="B65" s="3" t="s">
        <v>34</v>
      </c>
      <c r="C65" s="3" t="s">
        <v>333</v>
      </c>
      <c r="D65" s="3" t="s">
        <v>553</v>
      </c>
      <c r="E65" s="3" t="s">
        <v>175</v>
      </c>
      <c r="F65" s="3">
        <v>201</v>
      </c>
      <c r="G65" s="3" t="s">
        <v>2</v>
      </c>
      <c r="H65" s="3" t="s">
        <v>340</v>
      </c>
      <c r="I65" s="3" t="s">
        <v>554</v>
      </c>
    </row>
    <row r="66" ht="42" customHeight="1" spans="1:9">
      <c r="A66" s="3" t="s">
        <v>618</v>
      </c>
      <c r="B66" s="3" t="s">
        <v>29</v>
      </c>
      <c r="C66" s="3" t="s">
        <v>341</v>
      </c>
      <c r="D66" s="3" t="s">
        <v>553</v>
      </c>
      <c r="E66" s="3" t="s">
        <v>89</v>
      </c>
      <c r="F66" s="3">
        <v>200</v>
      </c>
      <c r="G66" s="3" t="s">
        <v>2</v>
      </c>
      <c r="H66" s="3" t="s">
        <v>340</v>
      </c>
      <c r="I66" s="3" t="s">
        <v>554</v>
      </c>
    </row>
    <row r="67" ht="42" customHeight="1" spans="1:9">
      <c r="A67" s="3" t="s">
        <v>619</v>
      </c>
      <c r="B67" s="3" t="s">
        <v>34</v>
      </c>
      <c r="C67" s="3" t="s">
        <v>344</v>
      </c>
      <c r="D67" s="3" t="s">
        <v>553</v>
      </c>
      <c r="E67" s="3" t="s">
        <v>121</v>
      </c>
      <c r="F67" s="3">
        <v>200</v>
      </c>
      <c r="G67" s="3" t="s">
        <v>2</v>
      </c>
      <c r="H67" s="3" t="s">
        <v>348</v>
      </c>
      <c r="I67" s="3" t="s">
        <v>554</v>
      </c>
    </row>
    <row r="68" ht="42" customHeight="1" spans="1:9">
      <c r="A68" s="3" t="s">
        <v>620</v>
      </c>
      <c r="B68" s="3" t="s">
        <v>29</v>
      </c>
      <c r="C68" s="3" t="s">
        <v>349</v>
      </c>
      <c r="D68" s="3" t="s">
        <v>553</v>
      </c>
      <c r="E68" s="3" t="s">
        <v>89</v>
      </c>
      <c r="F68" s="3">
        <v>200</v>
      </c>
      <c r="G68" s="3" t="s">
        <v>2</v>
      </c>
      <c r="H68" s="3" t="s">
        <v>351</v>
      </c>
      <c r="I68" s="3" t="s">
        <v>554</v>
      </c>
    </row>
    <row r="69" ht="42" customHeight="1" spans="1:9">
      <c r="A69" s="3" t="s">
        <v>621</v>
      </c>
      <c r="B69" s="3" t="s">
        <v>41</v>
      </c>
      <c r="C69" s="3" t="s">
        <v>352</v>
      </c>
      <c r="D69" s="3" t="s">
        <v>553</v>
      </c>
      <c r="E69" s="3" t="s">
        <v>181</v>
      </c>
      <c r="F69" s="3">
        <v>204</v>
      </c>
      <c r="G69" s="3" t="s">
        <v>2</v>
      </c>
      <c r="H69" s="3" t="s">
        <v>182</v>
      </c>
      <c r="I69" s="3" t="s">
        <v>554</v>
      </c>
    </row>
    <row r="70" ht="42" customHeight="1" spans="1:9">
      <c r="A70" s="3" t="s">
        <v>622</v>
      </c>
      <c r="B70" s="3" t="s">
        <v>37</v>
      </c>
      <c r="C70" s="3" t="s">
        <v>352</v>
      </c>
      <c r="D70" s="3" t="s">
        <v>553</v>
      </c>
      <c r="E70" s="3" t="s">
        <v>181</v>
      </c>
      <c r="F70" s="3">
        <v>204</v>
      </c>
      <c r="G70" s="3" t="s">
        <v>2</v>
      </c>
      <c r="H70" s="3" t="s">
        <v>182</v>
      </c>
      <c r="I70" s="3" t="s">
        <v>554</v>
      </c>
    </row>
    <row r="71" ht="42" customHeight="1" spans="1:9">
      <c r="A71" s="3" t="s">
        <v>623</v>
      </c>
      <c r="B71" s="3" t="s">
        <v>34</v>
      </c>
      <c r="C71" s="3" t="s">
        <v>360</v>
      </c>
      <c r="D71" s="3" t="s">
        <v>553</v>
      </c>
      <c r="E71" s="3" t="s">
        <v>121</v>
      </c>
      <c r="F71" s="3">
        <v>200</v>
      </c>
      <c r="G71" s="3" t="s">
        <v>2</v>
      </c>
      <c r="H71" s="3" t="s">
        <v>365</v>
      </c>
      <c r="I71" s="3" t="s">
        <v>554</v>
      </c>
    </row>
    <row r="72" ht="42" customHeight="1" spans="1:9">
      <c r="A72" s="3" t="s">
        <v>624</v>
      </c>
      <c r="B72" s="3" t="s">
        <v>34</v>
      </c>
      <c r="C72" s="3" t="s">
        <v>366</v>
      </c>
      <c r="D72" s="3" t="s">
        <v>553</v>
      </c>
      <c r="E72" s="3" t="s">
        <v>121</v>
      </c>
      <c r="F72" s="3">
        <v>200</v>
      </c>
      <c r="G72" s="3" t="s">
        <v>2</v>
      </c>
      <c r="H72" s="3" t="s">
        <v>370</v>
      </c>
      <c r="I72" s="3" t="s">
        <v>554</v>
      </c>
    </row>
    <row r="73" ht="42" customHeight="1" spans="1:9">
      <c r="A73" s="3" t="s">
        <v>625</v>
      </c>
      <c r="B73" s="3" t="s">
        <v>34</v>
      </c>
      <c r="C73" s="3" t="s">
        <v>371</v>
      </c>
      <c r="D73" s="3" t="s">
        <v>553</v>
      </c>
      <c r="E73" s="3" t="s">
        <v>121</v>
      </c>
      <c r="F73" s="3">
        <v>200</v>
      </c>
      <c r="G73" s="3" t="s">
        <v>2</v>
      </c>
      <c r="H73" s="3" t="s">
        <v>375</v>
      </c>
      <c r="I73" s="3" t="s">
        <v>554</v>
      </c>
    </row>
    <row r="74" ht="42" customHeight="1" spans="1:9">
      <c r="A74" s="3" t="s">
        <v>626</v>
      </c>
      <c r="B74" s="3" t="s">
        <v>29</v>
      </c>
      <c r="C74" s="3" t="s">
        <v>376</v>
      </c>
      <c r="D74" s="3" t="s">
        <v>553</v>
      </c>
      <c r="E74" s="3" t="s">
        <v>89</v>
      </c>
      <c r="F74" s="3">
        <v>200</v>
      </c>
      <c r="G74" s="3" t="s">
        <v>2</v>
      </c>
      <c r="H74" s="3" t="s">
        <v>378</v>
      </c>
      <c r="I74" s="3" t="s">
        <v>554</v>
      </c>
    </row>
    <row r="75" ht="42" customHeight="1" spans="1:9">
      <c r="A75" s="3" t="s">
        <v>627</v>
      </c>
      <c r="B75" s="3" t="s">
        <v>34</v>
      </c>
      <c r="C75" s="3" t="s">
        <v>380</v>
      </c>
      <c r="D75" s="3" t="s">
        <v>553</v>
      </c>
      <c r="E75" s="3" t="s">
        <v>121</v>
      </c>
      <c r="F75" s="3">
        <v>200</v>
      </c>
      <c r="G75" s="3" t="s">
        <v>2</v>
      </c>
      <c r="H75" s="3" t="s">
        <v>385</v>
      </c>
      <c r="I75" s="3" t="s">
        <v>554</v>
      </c>
    </row>
    <row r="76" ht="42" customHeight="1" spans="1:9">
      <c r="A76" s="3" t="s">
        <v>628</v>
      </c>
      <c r="B76" s="3" t="s">
        <v>41</v>
      </c>
      <c r="C76" s="3" t="s">
        <v>386</v>
      </c>
      <c r="D76" s="3" t="s">
        <v>553</v>
      </c>
      <c r="E76" s="3" t="s">
        <v>181</v>
      </c>
      <c r="F76" s="3">
        <v>204</v>
      </c>
      <c r="G76" s="3" t="s">
        <v>2</v>
      </c>
      <c r="H76" s="3" t="s">
        <v>182</v>
      </c>
      <c r="I76" s="3" t="s">
        <v>554</v>
      </c>
    </row>
    <row r="77" ht="42" customHeight="1" spans="1:9">
      <c r="A77" s="3" t="s">
        <v>629</v>
      </c>
      <c r="B77" s="3" t="s">
        <v>29</v>
      </c>
      <c r="C77" s="3" t="s">
        <v>390</v>
      </c>
      <c r="D77" s="3" t="s">
        <v>553</v>
      </c>
      <c r="E77" s="3" t="s">
        <v>89</v>
      </c>
      <c r="F77" s="3">
        <v>200</v>
      </c>
      <c r="G77" s="3" t="s">
        <v>2</v>
      </c>
      <c r="H77" s="3" t="s">
        <v>96</v>
      </c>
      <c r="I77" s="3" t="s">
        <v>554</v>
      </c>
    </row>
    <row r="78" ht="42" customHeight="1" spans="1:9">
      <c r="A78" s="3" t="s">
        <v>630</v>
      </c>
      <c r="B78" s="3" t="s">
        <v>29</v>
      </c>
      <c r="C78" s="3" t="s">
        <v>394</v>
      </c>
      <c r="D78" s="3" t="s">
        <v>553</v>
      </c>
      <c r="E78" s="3" t="s">
        <v>89</v>
      </c>
      <c r="F78" s="3">
        <v>200</v>
      </c>
      <c r="G78" s="3" t="s">
        <v>2</v>
      </c>
      <c r="H78" s="3" t="s">
        <v>397</v>
      </c>
      <c r="I78" s="3" t="s">
        <v>554</v>
      </c>
    </row>
    <row r="79" ht="42" customHeight="1" spans="1:9">
      <c r="A79" s="3" t="s">
        <v>631</v>
      </c>
      <c r="B79" s="3" t="s">
        <v>34</v>
      </c>
      <c r="C79" s="3" t="s">
        <v>394</v>
      </c>
      <c r="D79" s="3" t="s">
        <v>553</v>
      </c>
      <c r="E79" s="3" t="s">
        <v>175</v>
      </c>
      <c r="F79" s="3">
        <v>201</v>
      </c>
      <c r="G79" s="3" t="s">
        <v>2</v>
      </c>
      <c r="H79" s="3" t="s">
        <v>401</v>
      </c>
      <c r="I79" s="3" t="s">
        <v>554</v>
      </c>
    </row>
    <row r="80" ht="42" customHeight="1" spans="1:9">
      <c r="A80" s="3" t="s">
        <v>632</v>
      </c>
      <c r="B80" s="3" t="s">
        <v>37</v>
      </c>
      <c r="C80" s="3" t="s">
        <v>403</v>
      </c>
      <c r="D80" s="3" t="s">
        <v>553</v>
      </c>
      <c r="E80" s="3" t="s">
        <v>408</v>
      </c>
      <c r="F80" s="3">
        <v>200</v>
      </c>
      <c r="G80" s="3" t="s">
        <v>2</v>
      </c>
      <c r="H80" s="3" t="s">
        <v>409</v>
      </c>
      <c r="I80" s="3" t="s">
        <v>554</v>
      </c>
    </row>
    <row r="81" ht="42" customHeight="1" spans="1:9">
      <c r="A81" s="3" t="s">
        <v>633</v>
      </c>
      <c r="B81" s="3" t="s">
        <v>29</v>
      </c>
      <c r="C81" s="3" t="s">
        <v>410</v>
      </c>
      <c r="D81" s="3" t="s">
        <v>553</v>
      </c>
      <c r="E81" s="3" t="s">
        <v>89</v>
      </c>
      <c r="F81" s="3">
        <v>200</v>
      </c>
      <c r="G81" s="3" t="s">
        <v>2</v>
      </c>
      <c r="H81" s="3" t="s">
        <v>412</v>
      </c>
      <c r="I81" s="3" t="s">
        <v>554</v>
      </c>
    </row>
    <row r="82" ht="42" customHeight="1" spans="1:9">
      <c r="A82" s="3" t="s">
        <v>634</v>
      </c>
      <c r="B82" s="3" t="s">
        <v>29</v>
      </c>
      <c r="C82" s="3" t="s">
        <v>414</v>
      </c>
      <c r="D82" s="3" t="s">
        <v>553</v>
      </c>
      <c r="E82" s="3" t="s">
        <v>89</v>
      </c>
      <c r="F82" s="3">
        <v>200</v>
      </c>
      <c r="G82" s="3" t="s">
        <v>2</v>
      </c>
      <c r="H82" s="3" t="s">
        <v>417</v>
      </c>
      <c r="I82" s="3" t="s">
        <v>554</v>
      </c>
    </row>
    <row r="83" ht="42" customHeight="1" spans="1:9">
      <c r="A83" s="3" t="s">
        <v>635</v>
      </c>
      <c r="B83" s="3" t="s">
        <v>34</v>
      </c>
      <c r="C83" s="3" t="s">
        <v>414</v>
      </c>
      <c r="D83" s="3" t="s">
        <v>553</v>
      </c>
      <c r="E83" s="3" t="s">
        <v>121</v>
      </c>
      <c r="F83" s="3">
        <v>200</v>
      </c>
      <c r="G83" s="3" t="s">
        <v>2</v>
      </c>
      <c r="H83" s="3" t="s">
        <v>421</v>
      </c>
      <c r="I83" s="3" t="s">
        <v>554</v>
      </c>
    </row>
    <row r="84" ht="42" customHeight="1" spans="1:9">
      <c r="A84" s="3" t="s">
        <v>636</v>
      </c>
      <c r="B84" s="3" t="s">
        <v>29</v>
      </c>
      <c r="C84" s="3" t="s">
        <v>423</v>
      </c>
      <c r="D84" s="3" t="s">
        <v>553</v>
      </c>
      <c r="E84" s="3" t="s">
        <v>89</v>
      </c>
      <c r="F84" s="3">
        <v>200</v>
      </c>
      <c r="G84" s="3" t="s">
        <v>2</v>
      </c>
      <c r="H84" s="3" t="s">
        <v>428</v>
      </c>
      <c r="I84" s="3" t="s">
        <v>554</v>
      </c>
    </row>
    <row r="85" ht="42" customHeight="1" spans="1:9">
      <c r="A85" s="3" t="s">
        <v>637</v>
      </c>
      <c r="B85" s="3" t="s">
        <v>34</v>
      </c>
      <c r="C85" s="3" t="s">
        <v>423</v>
      </c>
      <c r="D85" s="3" t="s">
        <v>553</v>
      </c>
      <c r="E85" s="3" t="s">
        <v>175</v>
      </c>
      <c r="F85" s="3">
        <v>201</v>
      </c>
      <c r="G85" s="3" t="s">
        <v>2</v>
      </c>
      <c r="H85" s="3" t="s">
        <v>432</v>
      </c>
      <c r="I85" s="3" t="s">
        <v>554</v>
      </c>
    </row>
    <row r="86" ht="42" customHeight="1" spans="1:9">
      <c r="A86" s="3" t="s">
        <v>638</v>
      </c>
      <c r="B86" s="3" t="s">
        <v>41</v>
      </c>
      <c r="C86" s="3" t="s">
        <v>433</v>
      </c>
      <c r="D86" s="3" t="s">
        <v>553</v>
      </c>
      <c r="E86" s="3" t="s">
        <v>181</v>
      </c>
      <c r="F86" s="3">
        <v>204</v>
      </c>
      <c r="G86" s="3" t="s">
        <v>2</v>
      </c>
      <c r="H86" s="3" t="s">
        <v>182</v>
      </c>
      <c r="I86" s="3" t="s">
        <v>554</v>
      </c>
    </row>
    <row r="87" ht="42" customHeight="1" spans="1:9">
      <c r="A87" s="3" t="s">
        <v>639</v>
      </c>
      <c r="B87" s="3" t="s">
        <v>29</v>
      </c>
      <c r="C87" s="3" t="s">
        <v>433</v>
      </c>
      <c r="D87" s="3" t="s">
        <v>553</v>
      </c>
      <c r="E87" s="3" t="s">
        <v>89</v>
      </c>
      <c r="F87" s="3">
        <v>200</v>
      </c>
      <c r="G87" s="3" t="s">
        <v>2</v>
      </c>
      <c r="H87" s="3" t="s">
        <v>437</v>
      </c>
      <c r="I87" s="3" t="s">
        <v>554</v>
      </c>
    </row>
    <row r="88" ht="42" customHeight="1" spans="1:9">
      <c r="A88" s="3" t="s">
        <v>640</v>
      </c>
      <c r="B88" s="3" t="s">
        <v>37</v>
      </c>
      <c r="C88" s="3" t="s">
        <v>433</v>
      </c>
      <c r="D88" s="3" t="s">
        <v>553</v>
      </c>
      <c r="E88" s="3" t="s">
        <v>181</v>
      </c>
      <c r="F88" s="3">
        <v>204</v>
      </c>
      <c r="G88" s="3" t="s">
        <v>2</v>
      </c>
      <c r="H88" s="3" t="s">
        <v>182</v>
      </c>
      <c r="I88" s="3" t="s">
        <v>554</v>
      </c>
    </row>
    <row r="89" ht="42" customHeight="1" spans="1:9">
      <c r="A89" s="3" t="s">
        <v>641</v>
      </c>
      <c r="B89" s="3" t="s">
        <v>34</v>
      </c>
      <c r="C89" s="3" t="s">
        <v>441</v>
      </c>
      <c r="D89" s="3" t="s">
        <v>553</v>
      </c>
      <c r="E89" s="3" t="s">
        <v>121</v>
      </c>
      <c r="F89" s="3">
        <v>200</v>
      </c>
      <c r="G89" s="3" t="s">
        <v>2</v>
      </c>
      <c r="H89" s="3" t="s">
        <v>445</v>
      </c>
      <c r="I89" s="3" t="s">
        <v>554</v>
      </c>
    </row>
    <row r="90" ht="42" customHeight="1" spans="1:9">
      <c r="A90" s="3" t="s">
        <v>642</v>
      </c>
      <c r="B90" s="3" t="s">
        <v>41</v>
      </c>
      <c r="C90" s="3" t="s">
        <v>446</v>
      </c>
      <c r="D90" s="3" t="s">
        <v>553</v>
      </c>
      <c r="E90" s="3" t="s">
        <v>451</v>
      </c>
      <c r="F90" s="3">
        <v>200</v>
      </c>
      <c r="G90" s="3" t="s">
        <v>2</v>
      </c>
      <c r="H90" s="3" t="s">
        <v>445</v>
      </c>
      <c r="I90" s="3" t="s">
        <v>554</v>
      </c>
    </row>
    <row r="91" ht="42" customHeight="1" spans="1:9">
      <c r="A91" s="3" t="s">
        <v>643</v>
      </c>
      <c r="B91" s="3" t="s">
        <v>34</v>
      </c>
      <c r="C91" s="3" t="s">
        <v>452</v>
      </c>
      <c r="D91" s="3" t="s">
        <v>553</v>
      </c>
      <c r="E91" s="3" t="s">
        <v>121</v>
      </c>
      <c r="F91" s="3">
        <v>200</v>
      </c>
      <c r="G91" s="3" t="s">
        <v>2</v>
      </c>
      <c r="H91" s="3" t="s">
        <v>454</v>
      </c>
      <c r="I91" s="3" t="s">
        <v>554</v>
      </c>
    </row>
    <row r="92" ht="42" customHeight="1" spans="1:9">
      <c r="A92" s="3" t="s">
        <v>644</v>
      </c>
      <c r="B92" s="3" t="s">
        <v>37</v>
      </c>
      <c r="C92" s="3" t="s">
        <v>455</v>
      </c>
      <c r="D92" s="3" t="s">
        <v>553</v>
      </c>
      <c r="E92" s="3" t="s">
        <v>181</v>
      </c>
      <c r="F92" s="3">
        <v>204</v>
      </c>
      <c r="G92" s="3" t="s">
        <v>2</v>
      </c>
      <c r="H92" s="3" t="s">
        <v>182</v>
      </c>
      <c r="I92" s="3" t="s">
        <v>554</v>
      </c>
    </row>
    <row r="93" ht="42" customHeight="1" spans="1:9">
      <c r="A93" s="3" t="s">
        <v>645</v>
      </c>
      <c r="B93" s="3" t="s">
        <v>29</v>
      </c>
      <c r="C93" s="3" t="s">
        <v>459</v>
      </c>
      <c r="D93" s="3" t="s">
        <v>553</v>
      </c>
      <c r="E93" s="3" t="s">
        <v>89</v>
      </c>
      <c r="F93" s="3">
        <v>200</v>
      </c>
      <c r="G93" s="3" t="s">
        <v>2</v>
      </c>
      <c r="H93" s="3" t="s">
        <v>461</v>
      </c>
      <c r="I93" s="3" t="s">
        <v>554</v>
      </c>
    </row>
    <row r="94" ht="42" customHeight="1" spans="1:9">
      <c r="A94" s="3" t="s">
        <v>646</v>
      </c>
      <c r="B94" s="3" t="s">
        <v>29</v>
      </c>
      <c r="C94" s="3" t="s">
        <v>462</v>
      </c>
      <c r="D94" s="3" t="s">
        <v>553</v>
      </c>
      <c r="E94" s="3" t="s">
        <v>89</v>
      </c>
      <c r="F94" s="3">
        <v>200</v>
      </c>
      <c r="G94" s="3" t="s">
        <v>2</v>
      </c>
      <c r="H94" s="3" t="s">
        <v>464</v>
      </c>
      <c r="I94" s="3" t="s">
        <v>554</v>
      </c>
    </row>
    <row r="95" ht="42" customHeight="1" spans="1:9">
      <c r="A95" s="3" t="s">
        <v>647</v>
      </c>
      <c r="B95" s="3" t="s">
        <v>29</v>
      </c>
      <c r="C95" s="3" t="s">
        <v>465</v>
      </c>
      <c r="D95" s="3" t="s">
        <v>553</v>
      </c>
      <c r="E95" s="3" t="s">
        <v>468</v>
      </c>
      <c r="F95" s="3">
        <v>200</v>
      </c>
      <c r="G95" s="3" t="s">
        <v>2</v>
      </c>
      <c r="H95" s="3" t="s">
        <v>469</v>
      </c>
      <c r="I95" s="3" t="s">
        <v>554</v>
      </c>
    </row>
    <row r="96" ht="42" customHeight="1" spans="1:9">
      <c r="A96" s="3" t="s">
        <v>648</v>
      </c>
      <c r="B96" s="3" t="s">
        <v>29</v>
      </c>
      <c r="C96" s="3" t="s">
        <v>471</v>
      </c>
      <c r="D96" s="3" t="s">
        <v>553</v>
      </c>
      <c r="E96" s="3" t="s">
        <v>89</v>
      </c>
      <c r="F96" s="3">
        <v>200</v>
      </c>
      <c r="G96" s="3" t="s">
        <v>2</v>
      </c>
      <c r="H96" s="3" t="s">
        <v>474</v>
      </c>
      <c r="I96" s="3" t="s">
        <v>554</v>
      </c>
    </row>
    <row r="97" ht="42" customHeight="1" spans="1:9">
      <c r="A97" s="3" t="s">
        <v>649</v>
      </c>
      <c r="B97" s="3" t="s">
        <v>34</v>
      </c>
      <c r="C97" s="3" t="s">
        <v>471</v>
      </c>
      <c r="D97" s="3" t="s">
        <v>553</v>
      </c>
      <c r="E97" s="3" t="s">
        <v>175</v>
      </c>
      <c r="F97" s="3">
        <v>201</v>
      </c>
      <c r="G97" s="3" t="s">
        <v>2</v>
      </c>
      <c r="H97" s="3" t="s">
        <v>478</v>
      </c>
      <c r="I97" s="3" t="s">
        <v>554</v>
      </c>
    </row>
    <row r="98" ht="42" customHeight="1" spans="1:9">
      <c r="A98" s="3" t="s">
        <v>650</v>
      </c>
      <c r="B98" s="3" t="s">
        <v>41</v>
      </c>
      <c r="C98" s="3" t="s">
        <v>479</v>
      </c>
      <c r="D98" s="3" t="s">
        <v>553</v>
      </c>
      <c r="E98" s="3" t="s">
        <v>181</v>
      </c>
      <c r="F98" s="3">
        <v>204</v>
      </c>
      <c r="G98" s="3" t="s">
        <v>2</v>
      </c>
      <c r="H98" s="3" t="s">
        <v>182</v>
      </c>
      <c r="I98" s="3" t="s">
        <v>554</v>
      </c>
    </row>
    <row r="99" ht="42" customHeight="1" spans="1:9">
      <c r="A99" s="3" t="s">
        <v>651</v>
      </c>
      <c r="B99" s="3" t="s">
        <v>29</v>
      </c>
      <c r="C99" s="3" t="s">
        <v>479</v>
      </c>
      <c r="D99" s="3" t="s">
        <v>553</v>
      </c>
      <c r="E99" s="3" t="s">
        <v>89</v>
      </c>
      <c r="F99" s="3">
        <v>200</v>
      </c>
      <c r="G99" s="3" t="s">
        <v>2</v>
      </c>
      <c r="H99" s="3" t="s">
        <v>483</v>
      </c>
      <c r="I99" s="3" t="s">
        <v>554</v>
      </c>
    </row>
    <row r="100" ht="42" customHeight="1" spans="1:9">
      <c r="A100" s="3" t="s">
        <v>652</v>
      </c>
      <c r="B100" s="3" t="s">
        <v>34</v>
      </c>
      <c r="C100" s="3" t="s">
        <v>484</v>
      </c>
      <c r="D100" s="3" t="s">
        <v>553</v>
      </c>
      <c r="E100" s="3" t="s">
        <v>121</v>
      </c>
      <c r="F100" s="3">
        <v>200</v>
      </c>
      <c r="G100" s="3" t="s">
        <v>2</v>
      </c>
      <c r="H100" s="3" t="s">
        <v>488</v>
      </c>
      <c r="I100" s="3" t="s">
        <v>554</v>
      </c>
    </row>
    <row r="101" ht="42" customHeight="1" spans="1:9">
      <c r="A101" s="3" t="s">
        <v>653</v>
      </c>
      <c r="B101" s="3" t="s">
        <v>41</v>
      </c>
      <c r="C101" s="3" t="s">
        <v>489</v>
      </c>
      <c r="D101" s="3" t="s">
        <v>553</v>
      </c>
      <c r="E101" s="3" t="s">
        <v>181</v>
      </c>
      <c r="F101" s="3">
        <v>204</v>
      </c>
      <c r="G101" s="3" t="s">
        <v>2</v>
      </c>
      <c r="H101" s="3" t="s">
        <v>182</v>
      </c>
      <c r="I101" s="3" t="s">
        <v>554</v>
      </c>
    </row>
    <row r="102" ht="42" customHeight="1" spans="1:9">
      <c r="A102" s="3" t="s">
        <v>654</v>
      </c>
      <c r="B102" s="3" t="s">
        <v>29</v>
      </c>
      <c r="C102" s="3" t="s">
        <v>493</v>
      </c>
      <c r="D102" s="3" t="s">
        <v>553</v>
      </c>
      <c r="E102" s="3" t="s">
        <v>89</v>
      </c>
      <c r="F102" s="3">
        <v>200</v>
      </c>
      <c r="G102" s="3" t="s">
        <v>2</v>
      </c>
      <c r="H102" s="3" t="s">
        <v>474</v>
      </c>
      <c r="I102" s="3" t="s">
        <v>554</v>
      </c>
    </row>
    <row r="103" ht="42" customHeight="1" spans="1:9">
      <c r="A103" s="3" t="s">
        <v>655</v>
      </c>
      <c r="B103" s="3" t="s">
        <v>29</v>
      </c>
      <c r="C103" s="3" t="s">
        <v>496</v>
      </c>
      <c r="D103" s="3" t="s">
        <v>553</v>
      </c>
      <c r="E103" s="3" t="s">
        <v>89</v>
      </c>
      <c r="F103" s="3">
        <v>200</v>
      </c>
      <c r="G103" s="3" t="s">
        <v>2</v>
      </c>
      <c r="H103" s="3" t="s">
        <v>499</v>
      </c>
      <c r="I103" s="3" t="s">
        <v>554</v>
      </c>
    </row>
    <row r="104" ht="42" customHeight="1" spans="1:9">
      <c r="A104" s="3" t="s">
        <v>656</v>
      </c>
      <c r="B104" s="3" t="s">
        <v>34</v>
      </c>
      <c r="C104" s="3" t="s">
        <v>500</v>
      </c>
      <c r="D104" s="3" t="s">
        <v>657</v>
      </c>
      <c r="E104" s="3" t="s">
        <v>504</v>
      </c>
      <c r="F104" s="3">
        <v>200</v>
      </c>
      <c r="G104" s="3" t="s">
        <v>2</v>
      </c>
      <c r="H104" s="3" t="s">
        <v>505</v>
      </c>
      <c r="I104" s="3" t="s">
        <v>554</v>
      </c>
    </row>
    <row r="105" ht="42" customHeight="1" spans="1:9">
      <c r="A105" s="3" t="s">
        <v>658</v>
      </c>
      <c r="B105" s="3" t="s">
        <v>37</v>
      </c>
      <c r="C105" s="3" t="s">
        <v>507</v>
      </c>
      <c r="D105" s="3" t="s">
        <v>553</v>
      </c>
      <c r="E105" s="3" t="s">
        <v>408</v>
      </c>
      <c r="F105" s="3">
        <v>200</v>
      </c>
      <c r="G105" s="3" t="s">
        <v>2</v>
      </c>
      <c r="H105" s="3" t="s">
        <v>511</v>
      </c>
      <c r="I105" s="3" t="s">
        <v>554</v>
      </c>
    </row>
    <row r="106" ht="42" customHeight="1" spans="1:9">
      <c r="A106" s="3" t="s">
        <v>659</v>
      </c>
      <c r="B106" s="3" t="s">
        <v>37</v>
      </c>
      <c r="C106" s="3" t="s">
        <v>512</v>
      </c>
      <c r="D106" s="3" t="s">
        <v>553</v>
      </c>
      <c r="E106" s="3" t="s">
        <v>408</v>
      </c>
      <c r="F106" s="3">
        <v>200</v>
      </c>
      <c r="G106" s="3" t="s">
        <v>2</v>
      </c>
      <c r="H106" s="3" t="s">
        <v>516</v>
      </c>
      <c r="I106" s="3" t="s">
        <v>554</v>
      </c>
    </row>
    <row r="107" ht="42" customHeight="1" spans="1:9">
      <c r="A107" s="3" t="s">
        <v>660</v>
      </c>
      <c r="B107" s="3" t="s">
        <v>29</v>
      </c>
      <c r="C107" s="3" t="s">
        <v>517</v>
      </c>
      <c r="D107" s="3" t="s">
        <v>553</v>
      </c>
      <c r="E107" s="3" t="s">
        <v>89</v>
      </c>
      <c r="F107" s="3">
        <v>200</v>
      </c>
      <c r="G107" s="3" t="s">
        <v>2</v>
      </c>
      <c r="H107" s="3" t="s">
        <v>521</v>
      </c>
      <c r="I107" s="3" t="s">
        <v>554</v>
      </c>
    </row>
    <row r="108" ht="42" customHeight="1" spans="1:9">
      <c r="A108" s="3" t="s">
        <v>661</v>
      </c>
      <c r="B108" s="3" t="s">
        <v>34</v>
      </c>
      <c r="C108" s="3" t="s">
        <v>522</v>
      </c>
      <c r="D108" s="3" t="s">
        <v>657</v>
      </c>
      <c r="E108" s="3" t="s">
        <v>526</v>
      </c>
      <c r="F108" s="3">
        <v>200</v>
      </c>
      <c r="G108" s="3" t="s">
        <v>2</v>
      </c>
      <c r="H108" s="3" t="s">
        <v>527</v>
      </c>
      <c r="I108" s="3" t="s">
        <v>554</v>
      </c>
    </row>
    <row r="109" ht="42" customHeight="1" spans="1:9">
      <c r="A109" s="3" t="s">
        <v>662</v>
      </c>
      <c r="B109" s="3" t="s">
        <v>34</v>
      </c>
      <c r="C109" s="3" t="s">
        <v>529</v>
      </c>
      <c r="D109" s="3" t="s">
        <v>553</v>
      </c>
      <c r="E109" s="3" t="s">
        <v>121</v>
      </c>
      <c r="F109" s="3">
        <v>200</v>
      </c>
      <c r="G109" s="3" t="s">
        <v>2</v>
      </c>
      <c r="H109" s="3" t="s">
        <v>534</v>
      </c>
      <c r="I109" s="3" t="s">
        <v>554</v>
      </c>
    </row>
    <row r="110" ht="42" customHeight="1" spans="1:9">
      <c r="A110" s="3" t="s">
        <v>663</v>
      </c>
      <c r="B110" s="3" t="s">
        <v>29</v>
      </c>
      <c r="C110" s="3" t="s">
        <v>535</v>
      </c>
      <c r="D110" s="3" t="s">
        <v>553</v>
      </c>
      <c r="E110" s="3" t="s">
        <v>89</v>
      </c>
      <c r="F110" s="3">
        <v>200</v>
      </c>
      <c r="G110" s="3" t="s">
        <v>2</v>
      </c>
      <c r="H110" s="3" t="s">
        <v>537</v>
      </c>
      <c r="I110" s="3" t="s">
        <v>554</v>
      </c>
    </row>
    <row r="111" ht="42" customHeight="1" spans="1:9">
      <c r="A111" s="3" t="s">
        <v>664</v>
      </c>
      <c r="B111" s="3" t="s">
        <v>29</v>
      </c>
      <c r="C111" s="3" t="s">
        <v>538</v>
      </c>
      <c r="D111" s="3" t="s">
        <v>553</v>
      </c>
      <c r="E111" s="3" t="s">
        <v>89</v>
      </c>
      <c r="F111" s="3">
        <v>200</v>
      </c>
      <c r="G111" s="3" t="s">
        <v>2</v>
      </c>
      <c r="H111" s="3" t="s">
        <v>540</v>
      </c>
      <c r="I111" s="3" t="s">
        <v>554</v>
      </c>
    </row>
    <row r="112" ht="42" customHeight="1" spans="1:9">
      <c r="A112" s="3" t="s">
        <v>665</v>
      </c>
      <c r="B112" s="3" t="s">
        <v>29</v>
      </c>
      <c r="C112" s="3" t="s">
        <v>541</v>
      </c>
      <c r="D112" s="3" t="s">
        <v>553</v>
      </c>
      <c r="E112" s="3" t="s">
        <v>89</v>
      </c>
      <c r="F112" s="3">
        <v>200</v>
      </c>
      <c r="G112" s="3" t="s">
        <v>2</v>
      </c>
      <c r="H112" s="3" t="s">
        <v>543</v>
      </c>
      <c r="I112" s="3" t="s">
        <v>554</v>
      </c>
    </row>
  </sheetData>
  <mergeCells count="1">
    <mergeCell ref="A1:I2"/>
  </mergeCells>
  <conditionalFormatting sqref="G4:G112">
    <cfRule type="containsText" dxfId="1" priority="1" operator="between" text="PASS">
      <formula>NOT(ISERROR(SEARCH("PASS",G4)))</formula>
    </cfRule>
    <cfRule type="containsText" dxfId="3" priority="2" operator="between" text="FAIL">
      <formula>NOT(ISERROR(SEARCH("FAIL",G4)))</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showGridLines="0" workbookViewId="0">
      <selection activeCell="A1" sqref="A1:J2"/>
    </sheetView>
  </sheetViews>
  <sheetFormatPr defaultColWidth="9" defaultRowHeight="16.8"/>
  <cols>
    <col min="1" max="1" width="17" customWidth="1"/>
    <col min="2" max="2" width="22" customWidth="1"/>
    <col min="3" max="3" width="12" customWidth="1"/>
    <col min="4" max="4" width="10" customWidth="1"/>
    <col min="5" max="5" width="30" customWidth="1"/>
    <col min="6" max="7" width="38" customWidth="1"/>
    <col min="8" max="8" width="46" customWidth="1"/>
    <col min="9" max="9" width="48" customWidth="1"/>
    <col min="10" max="10" width="12" customWidth="1"/>
  </cols>
  <sheetData>
    <row r="1" ht="48" customHeight="1" spans="1:10">
      <c r="A1" s="1" t="s">
        <v>666</v>
      </c>
      <c r="B1" s="1" t="s">
        <v>666</v>
      </c>
      <c r="C1" s="1" t="s">
        <v>666</v>
      </c>
      <c r="D1" s="1" t="s">
        <v>666</v>
      </c>
      <c r="E1" s="1" t="s">
        <v>666</v>
      </c>
      <c r="F1" s="1" t="s">
        <v>666</v>
      </c>
      <c r="G1" s="1" t="s">
        <v>666</v>
      </c>
      <c r="H1" s="1" t="s">
        <v>666</v>
      </c>
      <c r="I1" s="1" t="s">
        <v>666</v>
      </c>
      <c r="J1" s="1" t="s">
        <v>666</v>
      </c>
    </row>
    <row r="2" ht="48" customHeight="1" spans="1:10">
      <c r="A2" s="1" t="s">
        <v>666</v>
      </c>
      <c r="B2" s="1" t="s">
        <v>666</v>
      </c>
      <c r="C2" s="1" t="s">
        <v>666</v>
      </c>
      <c r="D2" s="1" t="s">
        <v>666</v>
      </c>
      <c r="E2" s="1" t="s">
        <v>666</v>
      </c>
      <c r="F2" s="1" t="s">
        <v>666</v>
      </c>
      <c r="G2" s="1" t="s">
        <v>666</v>
      </c>
      <c r="H2" s="1" t="s">
        <v>666</v>
      </c>
      <c r="I2" s="1" t="s">
        <v>666</v>
      </c>
      <c r="J2" s="1" t="s">
        <v>666</v>
      </c>
    </row>
    <row r="3" ht="17" spans="1:10">
      <c r="A3" s="2" t="s">
        <v>667</v>
      </c>
      <c r="B3" s="2" t="s">
        <v>668</v>
      </c>
      <c r="C3" s="2" t="s">
        <v>669</v>
      </c>
      <c r="D3" s="2" t="s">
        <v>670</v>
      </c>
      <c r="E3" s="2" t="s">
        <v>671</v>
      </c>
      <c r="F3" s="2" t="s">
        <v>672</v>
      </c>
      <c r="G3" s="2" t="s">
        <v>673</v>
      </c>
      <c r="H3" s="2" t="s">
        <v>674</v>
      </c>
      <c r="I3" s="2" t="s">
        <v>675</v>
      </c>
      <c r="J3" s="2" t="s">
        <v>676</v>
      </c>
    </row>
    <row r="4" ht="60" customHeight="1" spans="1:10">
      <c r="A4" s="3" t="s">
        <v>677</v>
      </c>
      <c r="B4" s="3" t="s">
        <v>678</v>
      </c>
      <c r="C4" s="3" t="s">
        <v>31</v>
      </c>
      <c r="D4" s="3" t="s">
        <v>679</v>
      </c>
      <c r="E4" s="3" t="s">
        <v>680</v>
      </c>
      <c r="F4" s="3" t="s">
        <v>681</v>
      </c>
      <c r="G4" s="3" t="s">
        <v>682</v>
      </c>
      <c r="H4" s="3" t="s">
        <v>683</v>
      </c>
      <c r="I4" s="3" t="s">
        <v>684</v>
      </c>
      <c r="J4" s="3" t="s">
        <v>32</v>
      </c>
    </row>
    <row r="5" ht="60" customHeight="1" spans="1:10">
      <c r="A5" s="3" t="s">
        <v>685</v>
      </c>
      <c r="B5" s="3" t="s">
        <v>686</v>
      </c>
      <c r="C5" s="3" t="s">
        <v>31</v>
      </c>
      <c r="D5" s="3" t="s">
        <v>679</v>
      </c>
      <c r="E5" s="3" t="s">
        <v>687</v>
      </c>
      <c r="F5" s="3" t="s">
        <v>688</v>
      </c>
      <c r="G5" s="3" t="s">
        <v>689</v>
      </c>
      <c r="H5" s="3" t="s">
        <v>690</v>
      </c>
      <c r="I5" s="3" t="s">
        <v>691</v>
      </c>
      <c r="J5" s="3" t="s">
        <v>32</v>
      </c>
    </row>
    <row r="6" ht="60" customHeight="1" spans="1:10">
      <c r="A6" s="3" t="s">
        <v>692</v>
      </c>
      <c r="B6" s="3" t="s">
        <v>693</v>
      </c>
      <c r="C6" s="3" t="s">
        <v>31</v>
      </c>
      <c r="D6" s="3" t="s">
        <v>679</v>
      </c>
      <c r="E6" s="3" t="s">
        <v>694</v>
      </c>
      <c r="F6" s="3" t="s">
        <v>695</v>
      </c>
      <c r="G6" s="3" t="s">
        <v>696</v>
      </c>
      <c r="H6" s="3" t="s">
        <v>697</v>
      </c>
      <c r="I6" s="3" t="s">
        <v>698</v>
      </c>
      <c r="J6" s="3" t="s">
        <v>39</v>
      </c>
    </row>
    <row r="7" ht="60" customHeight="1" spans="1:10">
      <c r="A7" s="3" t="s">
        <v>699</v>
      </c>
      <c r="B7" s="3" t="s">
        <v>700</v>
      </c>
      <c r="C7" s="3" t="s">
        <v>701</v>
      </c>
      <c r="D7" s="3" t="s">
        <v>702</v>
      </c>
      <c r="E7" s="3" t="s">
        <v>703</v>
      </c>
      <c r="F7" s="3" t="s">
        <v>704</v>
      </c>
      <c r="G7" s="3" t="s">
        <v>705</v>
      </c>
      <c r="H7" s="3" t="s">
        <v>706</v>
      </c>
      <c r="I7" s="3" t="s">
        <v>707</v>
      </c>
      <c r="J7" s="3" t="s">
        <v>43</v>
      </c>
    </row>
    <row r="8" ht="60" customHeight="1" spans="1:10">
      <c r="A8" s="3" t="s">
        <v>708</v>
      </c>
      <c r="B8" s="3" t="s">
        <v>709</v>
      </c>
      <c r="C8" s="3" t="s">
        <v>31</v>
      </c>
      <c r="D8" s="3" t="s">
        <v>679</v>
      </c>
      <c r="E8" s="3" t="s">
        <v>710</v>
      </c>
      <c r="F8" s="3" t="s">
        <v>711</v>
      </c>
      <c r="G8" s="3" t="s">
        <v>712</v>
      </c>
      <c r="H8" s="3" t="s">
        <v>713</v>
      </c>
      <c r="I8" s="3" t="s">
        <v>714</v>
      </c>
      <c r="J8" s="3" t="s">
        <v>43</v>
      </c>
    </row>
    <row r="9" ht="60" customHeight="1" spans="1:10">
      <c r="A9" s="3" t="s">
        <v>715</v>
      </c>
      <c r="B9" s="3" t="s">
        <v>716</v>
      </c>
      <c r="C9" s="3" t="s">
        <v>717</v>
      </c>
      <c r="D9" s="3" t="s">
        <v>718</v>
      </c>
      <c r="E9" s="3" t="s">
        <v>719</v>
      </c>
      <c r="F9" s="3" t="s">
        <v>720</v>
      </c>
      <c r="G9" s="3" t="s">
        <v>721</v>
      </c>
      <c r="H9" s="3" t="s">
        <v>722</v>
      </c>
      <c r="I9" s="3" t="s">
        <v>723</v>
      </c>
      <c r="J9" s="3" t="s">
        <v>43</v>
      </c>
    </row>
  </sheetData>
  <mergeCells count="1">
    <mergeCell ref="A1:J2"/>
  </mergeCells>
  <conditionalFormatting sqref="C4:C9">
    <cfRule type="containsText" dxfId="3" priority="1" operator="between" text="High">
      <formula>NOT(ISERROR(SEARCH("High",C4)))</formula>
    </cfRule>
    <cfRule type="containsText" dxfId="2" priority="2" operator="between" text="Medium">
      <formula>NOT(ISERROR(SEARCH("Medium",C4)))</formula>
    </cfRule>
  </conditionalFormatting>
  <conditionalFormatting sqref="J4:J9">
    <cfRule type="containsText" dxfId="1" priority="3" operator="between" text="Resolved">
      <formula>NOT(ISERROR(SEARCH("Resolved",J4)))</formula>
    </cfRule>
    <cfRule type="containsText" dxfId="1" priority="4" operator="between" text="Verified">
      <formula>NOT(ISERROR(SEARCH("Verified",J4)))</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showGridLines="0" workbookViewId="0">
      <selection activeCell="A1" sqref="A1:E2"/>
    </sheetView>
  </sheetViews>
  <sheetFormatPr defaultColWidth="9" defaultRowHeight="16.8" outlineLevelCol="4"/>
  <cols>
    <col min="1" max="1" width="22" customWidth="1"/>
    <col min="2" max="2" width="28" customWidth="1"/>
    <col min="3" max="3" width="34" customWidth="1"/>
    <col min="4" max="4" width="12" customWidth="1"/>
    <col min="5" max="5" width="52" customWidth="1"/>
  </cols>
  <sheetData>
    <row r="1" ht="48" customHeight="1" spans="1:5">
      <c r="A1" s="1" t="s">
        <v>724</v>
      </c>
      <c r="B1" s="1" t="s">
        <v>724</v>
      </c>
      <c r="C1" s="1" t="s">
        <v>724</v>
      </c>
      <c r="D1" s="1" t="s">
        <v>724</v>
      </c>
      <c r="E1" s="1" t="s">
        <v>724</v>
      </c>
    </row>
    <row r="2" ht="48" customHeight="1" spans="1:5">
      <c r="A2" s="1" t="s">
        <v>724</v>
      </c>
      <c r="B2" s="1" t="s">
        <v>724</v>
      </c>
      <c r="C2" s="1" t="s">
        <v>724</v>
      </c>
      <c r="D2" s="1" t="s">
        <v>724</v>
      </c>
      <c r="E2" s="1" t="s">
        <v>724</v>
      </c>
    </row>
    <row r="3" ht="17" spans="1:5">
      <c r="A3" s="2" t="s">
        <v>64</v>
      </c>
      <c r="B3" s="2" t="s">
        <v>725</v>
      </c>
      <c r="C3" s="2" t="s">
        <v>726</v>
      </c>
      <c r="D3" s="2" t="s">
        <v>727</v>
      </c>
      <c r="E3" s="2" t="s">
        <v>728</v>
      </c>
    </row>
    <row r="4" ht="38" customHeight="1" spans="1:5">
      <c r="A4" s="3" t="s">
        <v>80</v>
      </c>
      <c r="B4" s="3" t="s">
        <v>729</v>
      </c>
      <c r="C4" s="3" t="s">
        <v>730</v>
      </c>
      <c r="D4" s="3">
        <f>COUNTIF('API Catalog'!$B$4:$B$112,A4)</f>
        <v>4</v>
      </c>
      <c r="E4" s="3" t="s">
        <v>731</v>
      </c>
    </row>
    <row r="5" ht="38" customHeight="1" spans="1:5">
      <c r="A5" s="3" t="s">
        <v>105</v>
      </c>
      <c r="B5" s="3" t="s">
        <v>732</v>
      </c>
      <c r="C5" s="3" t="s">
        <v>733</v>
      </c>
      <c r="D5" s="3">
        <f>COUNTIF('API Catalog'!$B$4:$B$112,A5)</f>
        <v>1</v>
      </c>
      <c r="E5" s="3" t="s">
        <v>734</v>
      </c>
    </row>
    <row r="6" ht="38" customHeight="1" spans="1:5">
      <c r="A6" s="3" t="s">
        <v>111</v>
      </c>
      <c r="B6" s="3" t="s">
        <v>735</v>
      </c>
      <c r="C6" s="3" t="s">
        <v>736</v>
      </c>
      <c r="D6" s="3">
        <f>COUNTIF('API Catalog'!$B$4:$B$112,A6)</f>
        <v>8</v>
      </c>
      <c r="E6" s="3" t="s">
        <v>737</v>
      </c>
    </row>
    <row r="7" ht="38" customHeight="1" spans="1:5">
      <c r="A7" s="3" t="s">
        <v>143</v>
      </c>
      <c r="B7" s="3" t="s">
        <v>738</v>
      </c>
      <c r="C7" s="3" t="s">
        <v>739</v>
      </c>
      <c r="D7" s="3">
        <f>COUNTIF('API Catalog'!$B$4:$B$112,A7)</f>
        <v>4</v>
      </c>
      <c r="E7" s="3" t="s">
        <v>740</v>
      </c>
    </row>
    <row r="8" ht="38" customHeight="1" spans="1:5">
      <c r="A8" s="3" t="s">
        <v>169</v>
      </c>
      <c r="B8" s="3" t="s">
        <v>741</v>
      </c>
      <c r="C8" s="3" t="s">
        <v>742</v>
      </c>
      <c r="D8" s="3">
        <f>COUNTIF('API Catalog'!$B$4:$B$112,A8)</f>
        <v>5</v>
      </c>
      <c r="E8" s="3" t="s">
        <v>743</v>
      </c>
    </row>
    <row r="9" ht="38" customHeight="1" spans="1:5">
      <c r="A9" s="3" t="s">
        <v>191</v>
      </c>
      <c r="B9" s="3" t="s">
        <v>729</v>
      </c>
      <c r="C9" s="3" t="s">
        <v>744</v>
      </c>
      <c r="D9" s="3">
        <f>COUNTIF('API Catalog'!$B$4:$B$112,A9)</f>
        <v>2</v>
      </c>
      <c r="E9" s="3" t="s">
        <v>745</v>
      </c>
    </row>
    <row r="10" ht="38" customHeight="1" spans="1:5">
      <c r="A10" s="3" t="s">
        <v>201</v>
      </c>
      <c r="B10" s="3" t="s">
        <v>746</v>
      </c>
      <c r="C10" s="3" t="s">
        <v>747</v>
      </c>
      <c r="D10" s="3">
        <f>COUNTIF('API Catalog'!$B$4:$B$112,A10)</f>
        <v>6</v>
      </c>
      <c r="E10" s="3" t="s">
        <v>748</v>
      </c>
    </row>
    <row r="11" ht="38" customHeight="1" spans="1:5">
      <c r="A11" s="3" t="s">
        <v>224</v>
      </c>
      <c r="B11" s="3" t="s">
        <v>744</v>
      </c>
      <c r="C11" s="3" t="s">
        <v>749</v>
      </c>
      <c r="D11" s="3">
        <f>COUNTIF('API Catalog'!$B$4:$B$112,A11)</f>
        <v>10</v>
      </c>
      <c r="E11" s="3" t="s">
        <v>750</v>
      </c>
    </row>
    <row r="12" ht="38" customHeight="1" spans="1:5">
      <c r="A12" s="3" t="s">
        <v>259</v>
      </c>
      <c r="B12" s="3" t="s">
        <v>751</v>
      </c>
      <c r="C12" s="3" t="s">
        <v>752</v>
      </c>
      <c r="D12" s="3">
        <f>COUNTIF('API Catalog'!$B$4:$B$112,A12)</f>
        <v>5</v>
      </c>
      <c r="E12" s="3" t="s">
        <v>753</v>
      </c>
    </row>
    <row r="13" ht="38" customHeight="1" spans="1:5">
      <c r="A13" s="3" t="s">
        <v>274</v>
      </c>
      <c r="B13" s="3" t="s">
        <v>732</v>
      </c>
      <c r="C13" s="3" t="s">
        <v>754</v>
      </c>
      <c r="D13" s="3">
        <f>COUNTIF('API Catalog'!$B$4:$B$112,A13)</f>
        <v>7</v>
      </c>
      <c r="E13" s="3" t="s">
        <v>755</v>
      </c>
    </row>
    <row r="14" ht="38" customHeight="1" spans="1:5">
      <c r="A14" s="3" t="s">
        <v>303</v>
      </c>
      <c r="B14" s="3" t="s">
        <v>756</v>
      </c>
      <c r="C14" s="3" t="s">
        <v>757</v>
      </c>
      <c r="D14" s="3">
        <f>COUNTIF('API Catalog'!$B$4:$B$112,A14)</f>
        <v>8</v>
      </c>
      <c r="E14" s="3" t="s">
        <v>758</v>
      </c>
    </row>
    <row r="15" ht="38" customHeight="1" spans="1:5">
      <c r="A15" s="3" t="s">
        <v>332</v>
      </c>
      <c r="B15" s="3" t="s">
        <v>759</v>
      </c>
      <c r="C15" s="3" t="s">
        <v>760</v>
      </c>
      <c r="D15" s="3">
        <f>COUNTIF('API Catalog'!$B$4:$B$112,A15)</f>
        <v>7</v>
      </c>
      <c r="E15" s="3" t="s">
        <v>761</v>
      </c>
    </row>
    <row r="16" ht="38" customHeight="1" spans="1:5">
      <c r="A16" s="3" t="s">
        <v>359</v>
      </c>
      <c r="B16" s="3" t="s">
        <v>735</v>
      </c>
      <c r="C16" s="3" t="s">
        <v>762</v>
      </c>
      <c r="D16" s="3">
        <f>COUNTIF('API Catalog'!$B$4:$B$112,A16)</f>
        <v>4</v>
      </c>
      <c r="E16" s="3" t="s">
        <v>763</v>
      </c>
    </row>
    <row r="17" ht="38" customHeight="1" spans="1:5">
      <c r="A17" s="3" t="s">
        <v>379</v>
      </c>
      <c r="B17" s="3" t="s">
        <v>764</v>
      </c>
      <c r="C17" s="3" t="s">
        <v>765</v>
      </c>
      <c r="D17" s="3">
        <f>COUNTIF('API Catalog'!$B$4:$B$112,A17)</f>
        <v>3</v>
      </c>
      <c r="E17" s="3" t="s">
        <v>766</v>
      </c>
    </row>
    <row r="18" ht="38" customHeight="1" spans="1:5">
      <c r="A18" s="3" t="s">
        <v>393</v>
      </c>
      <c r="B18" s="3" t="s">
        <v>764</v>
      </c>
      <c r="C18" s="3" t="s">
        <v>767</v>
      </c>
      <c r="D18" s="3">
        <f>COUNTIF('API Catalog'!$B$4:$B$112,A18)</f>
        <v>2</v>
      </c>
      <c r="E18" s="3" t="s">
        <v>768</v>
      </c>
    </row>
    <row r="19" ht="38" customHeight="1" spans="1:5">
      <c r="A19" s="3" t="s">
        <v>402</v>
      </c>
      <c r="B19" s="3" t="s">
        <v>769</v>
      </c>
      <c r="C19" s="3" t="s">
        <v>770</v>
      </c>
      <c r="D19" s="3">
        <f>COUNTIF('API Catalog'!$B$4:$B$112,A19)</f>
        <v>2</v>
      </c>
      <c r="E19" s="3" t="s">
        <v>771</v>
      </c>
    </row>
    <row r="20" ht="38" customHeight="1" spans="1:5">
      <c r="A20" s="3" t="s">
        <v>413</v>
      </c>
      <c r="B20" s="3" t="s">
        <v>764</v>
      </c>
      <c r="C20" s="3" t="s">
        <v>772</v>
      </c>
      <c r="D20" s="3">
        <f>COUNTIF('API Catalog'!$B$4:$B$112,A20)</f>
        <v>2</v>
      </c>
      <c r="E20" s="3" t="s">
        <v>773</v>
      </c>
    </row>
    <row r="21" ht="38" customHeight="1" spans="1:5">
      <c r="A21" s="3" t="s">
        <v>422</v>
      </c>
      <c r="B21" s="3" t="s">
        <v>769</v>
      </c>
      <c r="C21" s="3" t="s">
        <v>774</v>
      </c>
      <c r="D21" s="3">
        <f>COUNTIF('API Catalog'!$B$4:$B$112,A21)</f>
        <v>12</v>
      </c>
      <c r="E21" s="3" t="s">
        <v>775</v>
      </c>
    </row>
    <row r="22" ht="38" customHeight="1" spans="1:5">
      <c r="A22" s="3" t="s">
        <v>470</v>
      </c>
      <c r="B22" s="3" t="s">
        <v>746</v>
      </c>
      <c r="C22" s="3" t="s">
        <v>776</v>
      </c>
      <c r="D22" s="3">
        <f>COUNTIF('API Catalog'!$B$4:$B$112,A22)</f>
        <v>7</v>
      </c>
      <c r="E22" s="3" t="s">
        <v>777</v>
      </c>
    </row>
    <row r="23" ht="38" customHeight="1" spans="1:5">
      <c r="A23" s="3" t="s">
        <v>528</v>
      </c>
      <c r="B23" s="3" t="s">
        <v>741</v>
      </c>
      <c r="C23" s="3" t="s">
        <v>778</v>
      </c>
      <c r="D23" s="3">
        <f>COUNTIF('API Catalog'!$B$4:$B$112,A23)</f>
        <v>4</v>
      </c>
      <c r="E23" s="3" t="s">
        <v>779</v>
      </c>
    </row>
    <row r="24" ht="38" customHeight="1" spans="1:5">
      <c r="A24" s="3" t="s">
        <v>495</v>
      </c>
      <c r="B24" s="3" t="s">
        <v>759</v>
      </c>
      <c r="C24" s="3" t="s">
        <v>780</v>
      </c>
      <c r="D24" s="3">
        <f>COUNTIF('API Catalog'!$B$4:$B$112,A24)</f>
        <v>6</v>
      </c>
      <c r="E24" s="3" t="s">
        <v>781</v>
      </c>
    </row>
  </sheetData>
  <mergeCells count="1">
    <mergeCell ref="A1:E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Tổng quan</vt:lpstr>
      <vt:lpstr>API Catalog</vt:lpstr>
      <vt:lpstr>Test Results</vt:lpstr>
      <vt:lpstr>Defect Log</vt:lpstr>
      <vt:lpstr>Page 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trọng huỳnh</cp:lastModifiedBy>
  <dcterms:created xsi:type="dcterms:W3CDTF">2026-07-20T14:27:55Z</dcterms:created>
  <dcterms:modified xsi:type="dcterms:W3CDTF">2026-07-20T17:33:51Z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F10DEBDAE8C0570E8FF95D6ABBA8C180_42</vt:lpwstr>
  </property>
  <property fmtid="{D5CDD505-2E9C-101B-9397-08002B2CF9AE}" pid="3" name="KSOProductBuildVer">
    <vt:lpwstr>1033-12.1.26035.26035</vt:lpwstr>
  </property>
  <property fmtid="{D5CDD505-2E9C-101B-9397-08002B2CF9AE}" pid="4" name="CalculationRule">
    <vt:i4>0</vt:i4>
  </property>
</Properties>
</file>